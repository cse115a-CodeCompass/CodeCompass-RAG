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3"/>
    <sheet state="visible" name="Burn up Chart" sheetId="2" r:id="rId4"/>
  </sheets>
  <definedNames>
    <definedName name="ValidFromDim">'SCRUM Board'!$A$6:$C$24</definedName>
    <definedName name="StoryDim">'SCRUM Board'!$A$6:$H$24</definedName>
    <definedName name="ChartDates">'Burn up Chart'!$A$12:$A$19</definedName>
  </definedNames>
  <calcPr/>
</workbook>
</file>

<file path=xl/sharedStrings.xml><?xml version="1.0" encoding="utf-8"?>
<sst xmlns="http://schemas.openxmlformats.org/spreadsheetml/2006/main" count="86" uniqueCount="66">
  <si>
    <t>The table below shows the raw historical data - our user stories.</t>
  </si>
  <si>
    <t>Each time a story's state changes we add another line to represent the new state.</t>
  </si>
  <si>
    <t>It's important we update the "Valid from" date to indicate when this change happened</t>
  </si>
  <si>
    <t>The ID and "Valid from" columns together ensure we have a simple way of tracking change history.</t>
  </si>
  <si>
    <t>Story ID</t>
  </si>
  <si>
    <t>Title</t>
  </si>
  <si>
    <t>Completed</t>
  </si>
  <si>
    <t>Estimate</t>
  </si>
  <si>
    <t>Is done?</t>
  </si>
  <si>
    <t>Work done</t>
  </si>
  <si>
    <t>Person Assigned</t>
  </si>
  <si>
    <t>Status</t>
  </si>
  <si>
    <t>K726</t>
  </si>
  <si>
    <t>As a new user, I want to sign up with an email/password so that I can access CodeCompass</t>
  </si>
  <si>
    <t>Complete</t>
  </si>
  <si>
    <t>K727</t>
  </si>
  <si>
    <t>As a new user, I want to create a new organization so that I can invite other users to chat with my Indexed codebases.</t>
  </si>
  <si>
    <t>K730</t>
  </si>
  <si>
    <t>As a user, I want the chat responses to be relevant to my queries and my codebase</t>
  </si>
  <si>
    <t>K729</t>
  </si>
  <si>
    <t>As a user, I want a chat interface where I can input a question and receive a response so I can make inquiries about my codebase</t>
  </si>
  <si>
    <t>K731</t>
  </si>
  <si>
    <t>As a new user, I want to upload my local codebase to start chatting with it</t>
  </si>
  <si>
    <t>K732</t>
  </si>
  <si>
    <t>As a new user, I want a self-hosted instance so that I can use CodeCompass.</t>
  </si>
  <si>
    <t>K733</t>
  </si>
  <si>
    <t>As a user, I want to be able to choose my choice of LLM model so I can make use of the advantages associated with different models.</t>
  </si>
  <si>
    <t>K734</t>
  </si>
  <si>
    <t>As a user, I want to be able to view the files (and lines of code) that the LLM is using to answer my query, so that I know it’s not hallucinating.</t>
  </si>
  <si>
    <t>K735</t>
  </si>
  <si>
    <t>As a user, I want to upload multiple codebases so that I can work on multiple projects simultaneously.</t>
  </si>
  <si>
    <t>K736</t>
  </si>
  <si>
    <t>As a user, I want the LLM response to be streamed as each new token is generated.</t>
  </si>
  <si>
    <t>K737</t>
  </si>
  <si>
    <t>As an open-source developer, I want to upload a public repository from GitHub so I can better understand its structure to make meaningful contributions.</t>
  </si>
  <si>
    <t>K738</t>
  </si>
  <si>
    <t>As a user, I want automatically generated documentation so that me or anyone else can understand the codebase.</t>
  </si>
  <si>
    <t>K739</t>
  </si>
  <si>
    <t>As a user, I want the LLM responses to be as relevant as possible.</t>
  </si>
  <si>
    <t>Started</t>
  </si>
  <si>
    <t>K740</t>
  </si>
  <si>
    <t>As a user, I want to access chats for older indexes of the project so I can interact with past versions of my codebase.</t>
  </si>
  <si>
    <t>K741</t>
  </si>
  <si>
    <t xml:space="preserve">As a developer whose codebase is located remotely on GitHub, I want to upload my private codebase to CodeCompass so I can interact with it through CodeCompass’s interface. </t>
  </si>
  <si>
    <t>K742</t>
  </si>
  <si>
    <t>As a user, I want to be able to self-host an instance of CodeCompass (along with a user guide on how to self-host) so that I can use it with no concerns about data privacy</t>
  </si>
  <si>
    <t>K743</t>
  </si>
  <si>
    <t>As a user, I want to view my conversation history with the codebase, so I could look back at my previous messages and pick up where I left off with the chatbot.</t>
  </si>
  <si>
    <t>K744</t>
  </si>
  <si>
    <t>As a user, I want to configure my repository's settings so that I can reindex, update, or delete my repository.</t>
  </si>
  <si>
    <t>K745</t>
  </si>
  <si>
    <t>As a user, I want to configure my organization's settings so that I can change its name or delete it.</t>
  </si>
  <si>
    <t>K746</t>
  </si>
  <si>
    <t>As a user, I want to upload repos from GitLab, Bitbucket &amp; Mercurial so I can interact with my code base no matter which tool is used to store it</t>
  </si>
  <si>
    <t>K747</t>
  </si>
  <si>
    <t>As a user, I want the AI’s response to include generated tree diagrams so I can have a visual representation of a codebase’s different components and how they relate to each other.</t>
  </si>
  <si>
    <t>This is the data for a simple burn-up chart. It is based on the raw historical data in the previous sheet.</t>
  </si>
  <si>
    <t>The important function is sumValid (cell B11 and also C11), defined in the script associated with this spreadsheet.</t>
  </si>
  <si>
    <t>This calculates the relevant data points for the given dates, based on the history of changed data.</t>
  </si>
  <si>
    <t>First param: Date for a chart's data point (on its x-axis). Any data that was valid on this date will summed.</t>
  </si>
  <si>
    <t>Second param: Table of historic data, including header row. It must have columns for the ID, the date it's valid from, and of course the data itself (e.g. the story size)</t>
  </si>
  <si>
    <t>Third param: The name of the column with the ID. As a data item changes over time the ID should stay the same.</t>
  </si>
  <si>
    <t>Fourth param: Name of the column with the date that the data is valid from.</t>
  </si>
  <si>
    <t>Fifth param: Name of the column with the data to be summed.</t>
  </si>
  <si>
    <t>Date</t>
  </si>
  <si>
    <t>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</si>
</sst>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8">
    <font>
      <sz val="10.0"/>
      <color rgb="FF000000"/>
      <name val="Arial"/>
    </font>
    <font/>
    <font>
      <b/>
      <color rgb="FFFFFFFF"/>
      <name val="Roboto"/>
    </font>
    <font>
      <color rgb="FF434343"/>
      <name val="Roboto"/>
    </font>
    <font>
      <sz val="10.0"/>
      <color rgb="FF000000"/>
      <name val="Roboto"/>
    </font>
    <font>
      <b/>
    </font>
    <font>
      <b/>
      <color rgb="FF000000"/>
    </font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49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readingOrder="0" shrinkToFit="0" vertical="bottom" wrapText="1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Burn-up</a:t>
            </a:r>
          </a:p>
        </c:rich>
      </c:tx>
      <c:overlay val="0"/>
    </c:title>
    <c:plotArea>
      <c:layout>
        <c:manualLayout>
          <c:xMode val="edge"/>
          <c:yMode val="edge"/>
          <c:x val="0.19167"/>
          <c:y val="0.1907"/>
          <c:w val="0.61833"/>
          <c:h val="0.48605"/>
        </c:manualLayout>
      </c:layout>
      <c:lineChart>
        <c:ser>
          <c:idx val="0"/>
          <c:order val="0"/>
          <c:tx>
            <c:strRef>
              <c:f>'Burn up Chart'!$B$10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up Chart'!$A$11:$A$19</c:f>
            </c:strRef>
          </c:cat>
          <c:val>
            <c:numRef>
              <c:f>'Burn up Chart'!$B$11:$B$19</c:f>
              <c:numCache/>
            </c:numRef>
          </c:val>
          <c:smooth val="0"/>
        </c:ser>
        <c:ser>
          <c:idx val="1"/>
          <c:order val="1"/>
          <c:tx>
            <c:strRef>
              <c:f>'Burn up Chart'!$C$10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'Burn up Chart'!$A$11:$A$19</c:f>
            </c:strRef>
          </c:cat>
          <c:val>
            <c:numRef>
              <c:f>'Burn up Chart'!$C$11:$C$19</c:f>
              <c:numCache/>
            </c:numRef>
          </c:val>
          <c:smooth val="0"/>
        </c:ser>
        <c:axId val="2133154654"/>
        <c:axId val="46807180"/>
      </c:lineChart>
      <c:catAx>
        <c:axId val="2133154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807180"/>
      </c:catAx>
      <c:valAx>
        <c:axId val="46807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3154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8</xdr:row>
      <xdr:rowOff>447675</xdr:rowOff>
    </xdr:from>
    <xdr:ext cx="5715000" cy="4095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6:H27" displayName="Table1" name="Table1" id="1">
  <tableColumns count="8">
    <tableColumn name="Story ID" id="1"/>
    <tableColumn name="Title" id="2"/>
    <tableColumn name="Completed" id="3"/>
    <tableColumn name="Estimate" id="4"/>
    <tableColumn name="Is done?" id="5"/>
    <tableColumn name="Work done" id="6"/>
    <tableColumn name="Person Assigned" id="7"/>
    <tableColumn name="Status" id="8"/>
  </tableColumns>
  <tableStyleInfo name="SCRUM Board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6.38"/>
    <col customWidth="1" min="3" max="3" width="14.13"/>
    <col customWidth="1" min="4" max="4" width="15.25"/>
    <col customWidth="1" min="5" max="5" width="15.0"/>
    <col customWidth="1" min="6" max="6" width="14.25"/>
    <col customWidth="1" min="7" max="7" width="12.88"/>
    <col customWidth="1" min="8" max="8" width="13.63"/>
  </cols>
  <sheetData>
    <row r="1" ht="12.75" customHeight="1">
      <c r="A1" s="1"/>
      <c r="B1" s="2" t="s">
        <v>0</v>
      </c>
      <c r="C1" s="3"/>
      <c r="D1" s="3"/>
      <c r="E1" s="3"/>
      <c r="F1" s="3"/>
    </row>
    <row r="2" ht="12.75" customHeight="1">
      <c r="A2" s="1"/>
      <c r="B2" s="2" t="s">
        <v>1</v>
      </c>
      <c r="C2" s="2"/>
      <c r="D2" s="2"/>
      <c r="E2" s="2"/>
      <c r="F2" s="2"/>
    </row>
    <row r="3" ht="12.75" customHeight="1">
      <c r="A3" s="1"/>
      <c r="B3" s="2" t="s">
        <v>2</v>
      </c>
      <c r="C3" s="2"/>
      <c r="D3" s="2"/>
      <c r="E3" s="2"/>
      <c r="F3" s="2"/>
    </row>
    <row r="4" ht="12.75" customHeight="1">
      <c r="A4" s="1"/>
      <c r="B4" s="2" t="s">
        <v>3</v>
      </c>
      <c r="C4" s="2"/>
      <c r="D4" s="2"/>
      <c r="E4" s="2"/>
      <c r="F4" s="2"/>
    </row>
    <row r="5" ht="12.75" customHeight="1">
      <c r="A5" s="1"/>
    </row>
    <row r="6" ht="12.75" customHeight="1">
      <c r="A6" s="4" t="s">
        <v>4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6" t="s">
        <v>10</v>
      </c>
      <c r="H6" s="5" t="s">
        <v>11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 t="s">
        <v>12</v>
      </c>
      <c r="B7" s="9" t="s">
        <v>13</v>
      </c>
      <c r="C7" s="10">
        <v>45951.0</v>
      </c>
      <c r="D7" s="11">
        <v>4.0</v>
      </c>
      <c r="E7" s="12" t="b">
        <v>1</v>
      </c>
      <c r="F7" s="11">
        <f t="shared" ref="F7:F27" si="1">D7*E7</f>
        <v>4</v>
      </c>
      <c r="G7" s="13"/>
      <c r="H7" s="14" t="s">
        <v>14</v>
      </c>
    </row>
    <row r="8" ht="12.75" customHeight="1">
      <c r="A8" s="8" t="s">
        <v>15</v>
      </c>
      <c r="B8" s="9" t="s">
        <v>16</v>
      </c>
      <c r="C8" s="10">
        <v>45951.0</v>
      </c>
      <c r="D8" s="11">
        <v>8.0</v>
      </c>
      <c r="E8" s="15" t="b">
        <v>1</v>
      </c>
      <c r="F8" s="11">
        <f t="shared" si="1"/>
        <v>8</v>
      </c>
      <c r="G8" s="16"/>
      <c r="H8" s="17" t="s">
        <v>14</v>
      </c>
    </row>
    <row r="9" ht="12.75" customHeight="1">
      <c r="A9" s="8" t="s">
        <v>17</v>
      </c>
      <c r="B9" s="9" t="s">
        <v>18</v>
      </c>
      <c r="C9" s="10">
        <v>45965.0</v>
      </c>
      <c r="D9" s="11">
        <v>20.0</v>
      </c>
      <c r="E9" s="15" t="b">
        <v>1</v>
      </c>
      <c r="F9" s="11">
        <f t="shared" si="1"/>
        <v>20</v>
      </c>
      <c r="G9" s="16"/>
      <c r="H9" s="17" t="s">
        <v>14</v>
      </c>
    </row>
    <row r="10" ht="12.75" customHeight="1">
      <c r="A10" s="8" t="s">
        <v>19</v>
      </c>
      <c r="B10" s="9" t="s">
        <v>20</v>
      </c>
      <c r="C10" s="10">
        <v>45965.0</v>
      </c>
      <c r="D10" s="11">
        <v>20.0</v>
      </c>
      <c r="E10" s="15" t="b">
        <v>1</v>
      </c>
      <c r="F10" s="11">
        <f t="shared" si="1"/>
        <v>20</v>
      </c>
      <c r="G10" s="16"/>
      <c r="H10" s="17" t="s">
        <v>14</v>
      </c>
    </row>
    <row r="11" ht="12.75" customHeight="1">
      <c r="A11" s="8" t="s">
        <v>21</v>
      </c>
      <c r="B11" s="9" t="s">
        <v>22</v>
      </c>
      <c r="C11" s="10">
        <v>45951.0</v>
      </c>
      <c r="D11" s="11">
        <v>10.0</v>
      </c>
      <c r="E11" s="15" t="b">
        <v>1</v>
      </c>
      <c r="F11" s="11">
        <f t="shared" si="1"/>
        <v>10</v>
      </c>
      <c r="H11" s="14" t="s">
        <v>14</v>
      </c>
    </row>
    <row r="12" ht="12.75" customHeight="1">
      <c r="A12" s="8" t="s">
        <v>23</v>
      </c>
      <c r="B12" s="9" t="s">
        <v>24</v>
      </c>
      <c r="C12" s="10">
        <v>45951.0</v>
      </c>
      <c r="D12" s="11">
        <v>1.0</v>
      </c>
      <c r="E12" s="15" t="b">
        <v>1</v>
      </c>
      <c r="F12" s="11">
        <f t="shared" si="1"/>
        <v>1</v>
      </c>
      <c r="H12" s="14" t="s">
        <v>14</v>
      </c>
    </row>
    <row r="13" ht="12.75" customHeight="1">
      <c r="A13" s="8" t="s">
        <v>25</v>
      </c>
      <c r="B13" s="9" t="s">
        <v>26</v>
      </c>
      <c r="C13" s="10">
        <v>45979.0</v>
      </c>
      <c r="D13" s="11">
        <v>0.0</v>
      </c>
      <c r="E13" s="15" t="b">
        <v>1</v>
      </c>
      <c r="F13" s="11">
        <f t="shared" si="1"/>
        <v>0</v>
      </c>
      <c r="G13" s="16"/>
      <c r="H13" s="17" t="s">
        <v>14</v>
      </c>
    </row>
    <row r="14" ht="12.75" customHeight="1">
      <c r="A14" s="8" t="s">
        <v>27</v>
      </c>
      <c r="B14" s="9" t="s">
        <v>28</v>
      </c>
      <c r="C14" s="10">
        <v>45951.0</v>
      </c>
      <c r="D14" s="11">
        <v>4.0</v>
      </c>
      <c r="E14" s="15" t="b">
        <v>1</v>
      </c>
      <c r="F14" s="11">
        <f t="shared" si="1"/>
        <v>4</v>
      </c>
      <c r="G14" s="16"/>
      <c r="H14" s="17" t="s">
        <v>14</v>
      </c>
    </row>
    <row r="15" ht="12.75" customHeight="1">
      <c r="A15" s="8" t="s">
        <v>29</v>
      </c>
      <c r="B15" s="9" t="s">
        <v>30</v>
      </c>
      <c r="C15" s="10">
        <v>45965.0</v>
      </c>
      <c r="D15" s="11">
        <v>3.0</v>
      </c>
      <c r="E15" s="15" t="b">
        <v>1</v>
      </c>
      <c r="F15" s="11">
        <f t="shared" si="1"/>
        <v>3</v>
      </c>
      <c r="H15" s="14" t="s">
        <v>14</v>
      </c>
    </row>
    <row r="16" ht="12.75" customHeight="1">
      <c r="A16" s="8" t="s">
        <v>31</v>
      </c>
      <c r="B16" s="9" t="s">
        <v>32</v>
      </c>
      <c r="C16" s="10">
        <v>45940.0</v>
      </c>
      <c r="D16" s="11">
        <v>5.0</v>
      </c>
      <c r="E16" s="15" t="b">
        <v>1</v>
      </c>
      <c r="F16" s="11">
        <f t="shared" si="1"/>
        <v>5</v>
      </c>
      <c r="H16" s="14" t="s">
        <v>14</v>
      </c>
    </row>
    <row r="17" ht="12.75" customHeight="1">
      <c r="A17" s="8" t="s">
        <v>33</v>
      </c>
      <c r="B17" s="9" t="s">
        <v>34</v>
      </c>
      <c r="C17" s="10">
        <v>45940.0</v>
      </c>
      <c r="D17" s="11">
        <v>5.0</v>
      </c>
      <c r="E17" s="15" t="b">
        <v>1</v>
      </c>
      <c r="F17" s="11">
        <f t="shared" si="1"/>
        <v>5</v>
      </c>
      <c r="H17" s="14" t="s">
        <v>14</v>
      </c>
    </row>
    <row r="18" ht="12.75" customHeight="1">
      <c r="A18" s="8" t="s">
        <v>35</v>
      </c>
      <c r="B18" s="9" t="s">
        <v>36</v>
      </c>
      <c r="C18" s="10">
        <v>45979.0</v>
      </c>
      <c r="D18" s="11">
        <v>30.0</v>
      </c>
      <c r="E18" s="15" t="b">
        <v>1</v>
      </c>
      <c r="F18" s="11">
        <f t="shared" si="1"/>
        <v>30</v>
      </c>
      <c r="H18" s="14" t="s">
        <v>14</v>
      </c>
    </row>
    <row r="19" ht="12.75" customHeight="1">
      <c r="A19" s="8" t="s">
        <v>37</v>
      </c>
      <c r="B19" s="9" t="s">
        <v>38</v>
      </c>
      <c r="C19" s="10">
        <v>45995.0</v>
      </c>
      <c r="D19" s="11">
        <v>20.0</v>
      </c>
      <c r="E19" s="15" t="b">
        <v>0</v>
      </c>
      <c r="F19" s="11">
        <f t="shared" si="1"/>
        <v>0</v>
      </c>
      <c r="H19" s="14" t="s">
        <v>39</v>
      </c>
    </row>
    <row r="20" ht="12.75" customHeight="1">
      <c r="A20" s="8" t="s">
        <v>40</v>
      </c>
      <c r="B20" s="9" t="s">
        <v>41</v>
      </c>
      <c r="C20" s="10">
        <v>45995.0</v>
      </c>
      <c r="D20" s="11">
        <v>10.0</v>
      </c>
      <c r="E20" s="15" t="b">
        <v>0</v>
      </c>
      <c r="F20" s="11">
        <f t="shared" si="1"/>
        <v>0</v>
      </c>
      <c r="G20" s="16"/>
      <c r="H20" s="17" t="s">
        <v>39</v>
      </c>
    </row>
    <row r="21" ht="12.75" customHeight="1">
      <c r="A21" s="8" t="s">
        <v>42</v>
      </c>
      <c r="B21" s="9" t="s">
        <v>43</v>
      </c>
      <c r="C21" s="10">
        <v>45940.0</v>
      </c>
      <c r="D21" s="11">
        <v>5.0</v>
      </c>
      <c r="E21" s="12" t="b">
        <v>1</v>
      </c>
      <c r="F21" s="11">
        <f t="shared" si="1"/>
        <v>5</v>
      </c>
      <c r="H21" s="14" t="s">
        <v>14</v>
      </c>
    </row>
    <row r="22" ht="12.75" customHeight="1">
      <c r="A22" s="8" t="s">
        <v>44</v>
      </c>
      <c r="B22" s="9" t="s">
        <v>45</v>
      </c>
      <c r="C22" s="10">
        <v>45979.0</v>
      </c>
      <c r="D22" s="11">
        <v>20.0</v>
      </c>
      <c r="E22" s="12" t="b">
        <v>1</v>
      </c>
      <c r="F22" s="11">
        <f t="shared" si="1"/>
        <v>20</v>
      </c>
      <c r="H22" s="14" t="s">
        <v>14</v>
      </c>
    </row>
    <row r="23" ht="12.75" customHeight="1">
      <c r="A23" s="8" t="s">
        <v>46</v>
      </c>
      <c r="B23" s="9" t="s">
        <v>47</v>
      </c>
      <c r="C23" s="10">
        <v>45979.0</v>
      </c>
      <c r="D23" s="11">
        <v>20.0</v>
      </c>
      <c r="E23" s="12" t="b">
        <v>1</v>
      </c>
      <c r="F23" s="11">
        <f t="shared" si="1"/>
        <v>20</v>
      </c>
      <c r="H23" s="14" t="s">
        <v>14</v>
      </c>
    </row>
    <row r="24" ht="12.75" customHeight="1">
      <c r="A24" s="8" t="s">
        <v>48</v>
      </c>
      <c r="B24" s="18" t="s">
        <v>49</v>
      </c>
      <c r="C24" s="19">
        <v>45979.0</v>
      </c>
      <c r="D24" s="11">
        <v>2.0</v>
      </c>
      <c r="E24" s="12" t="b">
        <v>1</v>
      </c>
      <c r="F24" s="11">
        <f t="shared" si="1"/>
        <v>2</v>
      </c>
      <c r="H24" s="14" t="s">
        <v>14</v>
      </c>
    </row>
    <row r="25" ht="12.75" customHeight="1">
      <c r="A25" s="8" t="s">
        <v>50</v>
      </c>
      <c r="B25" s="20" t="s">
        <v>51</v>
      </c>
      <c r="C25" s="19">
        <v>45979.0</v>
      </c>
      <c r="D25" s="13">
        <v>2.0</v>
      </c>
      <c r="E25" s="12" t="b">
        <v>1</v>
      </c>
      <c r="F25" s="11">
        <f t="shared" si="1"/>
        <v>2</v>
      </c>
      <c r="H25" s="14" t="s">
        <v>14</v>
      </c>
    </row>
    <row r="26" ht="12.75" customHeight="1">
      <c r="A26" s="8" t="s">
        <v>52</v>
      </c>
      <c r="B26" s="13" t="s">
        <v>53</v>
      </c>
      <c r="C26" s="19">
        <v>45993.0</v>
      </c>
      <c r="D26" s="13">
        <v>4.0</v>
      </c>
      <c r="E26" s="12" t="b">
        <v>0</v>
      </c>
      <c r="F26" s="11">
        <f t="shared" si="1"/>
        <v>0</v>
      </c>
      <c r="H26" s="14" t="s">
        <v>39</v>
      </c>
    </row>
    <row r="27" ht="12.75" customHeight="1">
      <c r="A27" s="8" t="s">
        <v>54</v>
      </c>
      <c r="B27" s="13" t="s">
        <v>55</v>
      </c>
      <c r="C27" s="19">
        <v>45993.0</v>
      </c>
      <c r="D27" s="13">
        <v>6.0</v>
      </c>
      <c r="E27" s="12" t="b">
        <v>1</v>
      </c>
      <c r="F27" s="11">
        <f t="shared" si="1"/>
        <v>6</v>
      </c>
      <c r="H27" s="14" t="s">
        <v>14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</sheetData>
  <dataValidations>
    <dataValidation type="custom" allowBlank="1" showDropDown="1" sqref="C7:C27">
      <formula1>OR(NOT(ISERROR(DATEVALUE(C7))), AND(ISNUMBER(C7), LEFT(CELL("format", C7))="D"))</formula1>
    </dataValidation>
    <dataValidation type="list" allowBlank="1" sqref="H7:H27">
      <formula1>"Not Started,Started,Complete"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13"/>
  </cols>
  <sheetData>
    <row r="1">
      <c r="A1" s="21" t="s">
        <v>56</v>
      </c>
      <c r="B1" s="21"/>
      <c r="C1" s="21"/>
      <c r="D1" s="2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1" t="s">
        <v>57</v>
      </c>
      <c r="B2" s="21"/>
      <c r="C2" s="21"/>
      <c r="D2" s="21"/>
    </row>
    <row r="3">
      <c r="A3" s="21" t="s">
        <v>58</v>
      </c>
      <c r="B3" s="21"/>
      <c r="C3" s="21"/>
      <c r="D3" s="21"/>
    </row>
    <row r="4">
      <c r="A4" s="21" t="s">
        <v>59</v>
      </c>
      <c r="B4" s="21"/>
      <c r="C4" s="21"/>
      <c r="D4" s="21"/>
    </row>
    <row r="5">
      <c r="A5" s="21" t="s">
        <v>60</v>
      </c>
      <c r="B5" s="21"/>
      <c r="C5" s="21"/>
      <c r="D5" s="21"/>
    </row>
    <row r="6">
      <c r="A6" s="21" t="s">
        <v>61</v>
      </c>
      <c r="B6" s="21"/>
      <c r="C6" s="21"/>
      <c r="D6" s="21"/>
    </row>
    <row r="7">
      <c r="A7" s="21" t="s">
        <v>62</v>
      </c>
      <c r="B7" s="21"/>
      <c r="C7" s="21"/>
      <c r="D7" s="21"/>
    </row>
    <row r="8">
      <c r="A8" s="21" t="s">
        <v>63</v>
      </c>
      <c r="B8" s="21"/>
      <c r="C8" s="21"/>
      <c r="D8" s="21"/>
    </row>
    <row r="9">
      <c r="A9" s="22"/>
      <c r="B9" s="22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>
      <c r="A10" s="22" t="s">
        <v>64</v>
      </c>
      <c r="B10" s="22" t="s">
        <v>9</v>
      </c>
      <c r="C10" s="23" t="s">
        <v>65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>
      <c r="A11" s="25">
        <v>45944.0</v>
      </c>
      <c r="B11" s="26">
        <v>0.0</v>
      </c>
      <c r="C11" s="26">
        <v>199.0</v>
      </c>
    </row>
    <row r="12">
      <c r="A12" s="25">
        <v>45958.0</v>
      </c>
      <c r="B12" s="26">
        <f>sumValid($A12, 'SCRUM Board'!$A$6:$F$27, "Story ID", "Completed", "Estimate")</f>
        <v>42</v>
      </c>
      <c r="C12" s="26">
        <f>sum(Table1[Estimate])</f>
        <v>199</v>
      </c>
    </row>
    <row r="13">
      <c r="A13" s="25">
        <v>45965.0</v>
      </c>
      <c r="B13" s="26">
        <f>sumValid($A13, 'SCRUM Board'!$A$6:$F$27, "Story ID", "Completed", "Estimate")</f>
        <v>85</v>
      </c>
      <c r="C13" s="26">
        <f>sum(Table1[Estimate])</f>
        <v>199</v>
      </c>
    </row>
    <row r="14">
      <c r="A14" s="25">
        <v>45979.0</v>
      </c>
      <c r="B14" s="26">
        <f>sumValid($A14, 'SCRUM Board'!$A$6:$F$27, "Story ID", "Completed", "Estimate")</f>
        <v>159</v>
      </c>
      <c r="C14" s="26">
        <f>sum(Table1[Estimate])</f>
        <v>199</v>
      </c>
    </row>
    <row r="15">
      <c r="A15" s="25">
        <v>45993.0</v>
      </c>
      <c r="B15" s="26">
        <f>sumValid($A15, 'SCRUM Board'!$A$6:$F$27, "Story ID", "Completed", "Estimate")</f>
        <v>169</v>
      </c>
      <c r="C15" s="26">
        <f>sum(Table1[Estimate])</f>
        <v>199</v>
      </c>
    </row>
    <row r="16">
      <c r="A16" s="25"/>
      <c r="B16" s="26"/>
      <c r="C16" s="26"/>
    </row>
    <row r="17">
      <c r="A17" s="25"/>
      <c r="B17" s="26"/>
      <c r="C17" s="26"/>
    </row>
    <row r="18">
      <c r="A18" s="25"/>
      <c r="B18" s="26"/>
      <c r="C18" s="26"/>
    </row>
    <row r="19">
      <c r="A19" s="25"/>
      <c r="B19" s="26"/>
      <c r="C19" s="26"/>
    </row>
    <row r="20">
      <c r="A20" s="27"/>
      <c r="B20" s="28"/>
    </row>
    <row r="21">
      <c r="A21" s="27"/>
      <c r="B21" s="28"/>
    </row>
    <row r="37">
      <c r="A37" s="27"/>
      <c r="B37" s="28"/>
    </row>
    <row r="38">
      <c r="A38" s="27"/>
      <c r="B38" s="28"/>
    </row>
    <row r="39">
      <c r="A39" s="27"/>
      <c r="B39" s="28"/>
    </row>
    <row r="40">
      <c r="A40" s="27"/>
      <c r="B40" s="28"/>
    </row>
    <row r="41">
      <c r="A41" s="27"/>
      <c r="B41" s="28"/>
    </row>
    <row r="42">
      <c r="A42" s="27"/>
      <c r="B42" s="28"/>
    </row>
    <row r="43">
      <c r="A43" s="27"/>
      <c r="B43" s="28"/>
    </row>
    <row r="44">
      <c r="A44" s="27"/>
      <c r="B44" s="28"/>
    </row>
    <row r="45">
      <c r="A45" s="27"/>
      <c r="B45" s="28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</sheetData>
  <drawing r:id="rId1"/>
</worksheet>
</file>
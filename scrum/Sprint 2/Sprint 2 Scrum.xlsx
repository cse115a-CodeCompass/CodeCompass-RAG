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UM Board" sheetId="1" r:id="rId3"/>
    <sheet state="visible" name="Burn up Chart" sheetId="2" r:id="rId4"/>
    <sheet state="visible" name="Burn-up with smarter formulas" sheetId="3" r:id="rId5"/>
  </sheets>
  <definedNames>
    <definedName name="ValidFromDim">'SCRUM Board'!$B$6:$D$21</definedName>
    <definedName name="ChartDates">'Burn up Chart'!$A$11:$A$24</definedName>
    <definedName name="StoryDim">'SCRUM Board'!$B$6:$I$21</definedName>
    <definedName localSheetId="2" name="ChartDates">'Burn-up with smarter formulas'!$A$11:$A$24</definedName>
  </definedNames>
  <calcPr/>
</workbook>
</file>

<file path=xl/sharedStrings.xml><?xml version="1.0" encoding="utf-8"?>
<sst xmlns="http://schemas.openxmlformats.org/spreadsheetml/2006/main" count="86" uniqueCount="70">
  <si>
    <t>The table below shows the raw historical data - our user stories.</t>
  </si>
  <si>
    <t>Each time a story's state changes we add another line to represent the new state.</t>
  </si>
  <si>
    <t>highlighted yellow = late</t>
  </si>
  <si>
    <t>It's important we update the "Valid from" date to indicate when this change happened</t>
  </si>
  <si>
    <t>The ID and "Valid from" columns together ensure we have a simple way of tracking change history.</t>
  </si>
  <si>
    <t>Story ID</t>
  </si>
  <si>
    <t>User Story</t>
  </si>
  <si>
    <t>Title</t>
  </si>
  <si>
    <t>Valid from</t>
  </si>
  <si>
    <t>Estimate</t>
  </si>
  <si>
    <t>Is done?</t>
  </si>
  <si>
    <t>Work done</t>
  </si>
  <si>
    <t>Person Assigned</t>
  </si>
  <si>
    <t>Status</t>
  </si>
  <si>
    <t>K726</t>
  </si>
  <si>
    <t>As a user, I want the chat responses 
to be relevant to my codebase.</t>
  </si>
  <si>
    <t>A RAG retrieval engine (must retrieve relevant code chunks
to the user query from the input codebase)"</t>
  </si>
  <si>
    <t>Complete</t>
  </si>
  <si>
    <t>K727</t>
  </si>
  <si>
    <t>As a user, I want to be able to view the files (and lines of code) that the 
LLM is using to answer my query, so that I know it’s not hallucinating.</t>
  </si>
  <si>
    <t>Automatic AI-generated documentation for the codebase</t>
  </si>
  <si>
    <t>Not Started</t>
  </si>
  <si>
    <t>K728</t>
  </si>
  <si>
    <t>K729</t>
  </si>
  <si>
    <t>As a user, I want to be able to view previous versions of my project, and also see new versions</t>
  </si>
  <si>
    <t>A way to reindex projects(if changes have been committed to it) while still maintaining a way to chat with older versions of the project (i.e., not discarding older indexed projects for the new one, but rather maintaining a version history)</t>
  </si>
  <si>
    <t>K730</t>
  </si>
  <si>
    <t>K731</t>
  </si>
  <si>
    <t>K732</t>
  </si>
  <si>
    <t>As a user, I want an intelligent, RAG-based AI to communicate with</t>
  </si>
  <si>
    <t>Connect frontend to backend RAG engine</t>
  </si>
  <si>
    <t>K733</t>
  </si>
  <si>
    <t>K734</t>
  </si>
  <si>
    <t>As a user, I want to be able to chat with the AI and ask questions about my project</t>
  </si>
  <si>
    <r>
      <rPr/>
      <t xml:space="preserve">Implement a </t>
    </r>
    <r>
      <rPr>
        <i/>
      </rPr>
      <t>functioning</t>
    </r>
    <r>
      <rPr/>
      <t xml:space="preserve"> Chat UI</t>
    </r>
  </si>
  <si>
    <t>K735</t>
  </si>
  <si>
    <t>As a user, I want the program to generate Documentation about my project</t>
  </si>
  <si>
    <r>
      <rPr/>
      <t xml:space="preserve">Implement a </t>
    </r>
    <r>
      <rPr>
        <i/>
      </rPr>
      <t>functioning</t>
    </r>
    <r>
      <rPr/>
      <t xml:space="preserve"> Documentation Page </t>
    </r>
  </si>
  <si>
    <t>K736</t>
  </si>
  <si>
    <t>As a new user, I want to upload my non-local codebase to start 
chatting with it.</t>
  </si>
  <si>
    <t xml:space="preserve">Upload codebase from: Github (Both Public &amp; Private Repos) </t>
  </si>
  <si>
    <t>Started</t>
  </si>
  <si>
    <t>K737</t>
  </si>
  <si>
    <t>As a new user, I want to upload my local codebase to start 
chatting with it.</t>
  </si>
  <si>
    <t>Upload codebase from local folder</t>
  </si>
  <si>
    <t>K738</t>
  </si>
  <si>
    <t>As a new user, I want a self-hosted instance so that I can use CodeCompass.</t>
  </si>
  <si>
    <t xml:space="preserve">Initialize project and deploy </t>
  </si>
  <si>
    <t>K739</t>
  </si>
  <si>
    <t>As a user, I want to see what code the AI is reading to make up its answers.</t>
  </si>
  <si>
    <t>A method to display retrieved relevant code snippets from the codebase</t>
  </si>
  <si>
    <t>K740</t>
  </si>
  <si>
    <t>As a user, I want my home page to be pretty and intuitive.</t>
  </si>
  <si>
    <t>All codebases uploaded by the user will be displayed as icons on their home page</t>
  </si>
  <si>
    <t>This is the data for a simple burn-up chart. It is based on the raw historical data in the previous sheet.</t>
  </si>
  <si>
    <t>The important function is sumValid (cell B11 and also C11), defined in the script associated with this spreadsheet.</t>
  </si>
  <si>
    <t>This calculates the relevant data points for the given dates, based on the history of changed data.</t>
  </si>
  <si>
    <t>First param: Date for a chart's data point (on its x-axis). Any data that was valid on this date will summed.</t>
  </si>
  <si>
    <t>Second param: Table of historic data, including header row. It must have columns for the ID, the date it's valid from, and of course the data itself (e.g. the story size)</t>
  </si>
  <si>
    <t>Third param: The name of the column with the ID. As a data item changes over time the ID should stay the same.</t>
  </si>
  <si>
    <t>Fourth param: Name of the column with the date that the data is valid from.</t>
  </si>
  <si>
    <t>Fifth param: Name of the column with the data to be summed.</t>
  </si>
  <si>
    <t>Date</t>
  </si>
  <si>
    <t>Scope</t>
  </si>
  <si>
    <t>This sheet appears identical to the previous one, but there's an important difference.</t>
  </si>
  <si>
    <t>The sumValid function is used differently. Have a look at cells B11 and C11.</t>
  </si>
  <si>
    <t>You'll see the first parameter refers not just to one date, but to the whole range of dates.</t>
  </si>
  <si>
    <t>As a result, all the values below that cell are filled in automatically.</t>
  </si>
  <si>
    <t>So we just need to worry about two forumulas: in B11 and C11.</t>
  </si>
  <si>
    <t>As long as they continue to point to all the dates we want to chart, all the numbers will be calculated for 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</si>
</sst>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&quot; &quot;yyyy"/>
  </numFmts>
  <fonts count="8">
    <font>
      <sz val="10.0"/>
      <color rgb="FF000000"/>
      <name val="Arial"/>
    </font>
    <font/>
    <font>
      <b/>
      <color rgb="FFFFFFFF"/>
      <name val="Roboto"/>
    </font>
    <font>
      <color rgb="FF434343"/>
      <name val="Roboto"/>
    </font>
    <font>
      <sz val="9.0"/>
      <color rgb="FF000000"/>
      <name val="Roboto"/>
    </font>
    <font>
      <b/>
    </font>
    <font>
      <b/>
      <color rgb="FF000000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49" xfId="0" applyAlignment="1" applyFont="1" applyNumberFormat="1">
      <alignment horizontal="left" readingOrder="0" shrinkToFit="0" vertical="bottom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2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CRUM 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Burn-up</a:t>
            </a:r>
          </a:p>
        </c:rich>
      </c:tx>
      <c:overlay val="0"/>
    </c:title>
    <c:plotArea>
      <c:layout>
        <c:manualLayout>
          <c:xMode val="edge"/>
          <c:yMode val="edge"/>
          <c:x val="0.19167"/>
          <c:y val="0.1907"/>
          <c:w val="0.61833"/>
          <c:h val="0.48605"/>
        </c:manualLayout>
      </c:layout>
      <c:lineChart>
        <c:axId val="1271084900"/>
        <c:axId val="742062072"/>
      </c:lineChart>
      <c:catAx>
        <c:axId val="1271084900"/>
        <c:scaling>
          <c:orientation val="minMax"/>
        </c:scaling>
        <c:delete val="0"/>
        <c:axPos val="b"/>
        <c:crossAx val="742062072"/>
      </c:catAx>
      <c:valAx>
        <c:axId val="74206207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71084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rPr b="1" sz="1600">
                <a:solidFill>
                  <a:srgbClr val="000000"/>
                </a:solidFill>
                <a:latin typeface="Roboto"/>
              </a:rPr>
              <a:t>Burn-up</a:t>
            </a:r>
          </a:p>
        </c:rich>
      </c:tx>
      <c:overlay val="0"/>
    </c:title>
    <c:plotArea>
      <c:layout>
        <c:manualLayout>
          <c:xMode val="edge"/>
          <c:yMode val="edge"/>
          <c:x val="0.19167"/>
          <c:y val="0.1907"/>
          <c:w val="0.61833"/>
          <c:h val="0.48605"/>
        </c:manualLayout>
      </c:layout>
      <c:lineChart>
        <c:axId val="353261632"/>
        <c:axId val="1506396915"/>
      </c:lineChart>
      <c:catAx>
        <c:axId val="353261632"/>
        <c:scaling>
          <c:orientation val="minMax"/>
        </c:scaling>
        <c:delete val="0"/>
        <c:axPos val="b"/>
        <c:crossAx val="1506396915"/>
      </c:catAx>
      <c:valAx>
        <c:axId val="15063969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53261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1076325</xdr:colOff>
      <xdr:row>8</xdr:row>
      <xdr:rowOff>95250</xdr:rowOff>
    </xdr:from>
    <xdr:ext cx="5715000" cy="4095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7</xdr:row>
      <xdr:rowOff>457200</xdr:rowOff>
    </xdr:from>
    <xdr:ext cx="5715000" cy="4095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6:I21" displayName="Table1" name="Table1" id="1">
  <tableColumns count="9">
    <tableColumn name="Story ID" id="1"/>
    <tableColumn name="User Story" id="2"/>
    <tableColumn name="Title" id="3"/>
    <tableColumn name="Valid from" id="4"/>
    <tableColumn name="Estimate" id="5"/>
    <tableColumn name="Is done?" id="6"/>
    <tableColumn name="Work done" id="7"/>
    <tableColumn name="Person Assigned" id="8"/>
    <tableColumn name="Status" id="9"/>
  </tableColumns>
  <tableStyleInfo name="SCRUM Board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57.63"/>
    <col customWidth="1" min="3" max="3" width="56.38"/>
    <col customWidth="1" min="4" max="4" width="14.13"/>
    <col customWidth="1" min="5" max="5" width="15.25"/>
    <col customWidth="1" min="6" max="6" width="15.0"/>
    <col customWidth="1" min="7" max="7" width="14.25"/>
    <col customWidth="1" min="8" max="8" width="12.88"/>
    <col customWidth="1" min="9" max="9" width="13.63"/>
  </cols>
  <sheetData>
    <row r="1" ht="12.75" customHeight="1">
      <c r="A1" s="1"/>
      <c r="B1" s="1"/>
      <c r="C1" s="2" t="s">
        <v>0</v>
      </c>
      <c r="D1" s="3"/>
      <c r="E1" s="3"/>
      <c r="F1" s="3"/>
      <c r="G1" s="3"/>
    </row>
    <row r="2" ht="12.75" customHeight="1">
      <c r="A2" s="1"/>
      <c r="B2" s="1"/>
      <c r="C2" s="2" t="s">
        <v>1</v>
      </c>
      <c r="D2" s="2"/>
      <c r="E2" s="2"/>
      <c r="F2" s="4" t="s">
        <v>2</v>
      </c>
      <c r="G2" s="5"/>
    </row>
    <row r="3" ht="12.75" customHeight="1">
      <c r="A3" s="1"/>
      <c r="B3" s="1"/>
      <c r="C3" s="2" t="s">
        <v>3</v>
      </c>
      <c r="D3" s="2"/>
      <c r="E3" s="2"/>
      <c r="F3" s="2"/>
      <c r="G3" s="2"/>
    </row>
    <row r="4" ht="12.75" customHeight="1">
      <c r="A4" s="1"/>
      <c r="B4" s="1"/>
      <c r="C4" s="2" t="s">
        <v>4</v>
      </c>
      <c r="D4" s="2"/>
      <c r="E4" s="2"/>
      <c r="F4" s="2"/>
      <c r="G4" s="2"/>
    </row>
    <row r="5" ht="12.75" customHeight="1">
      <c r="A5" s="1"/>
      <c r="B5" s="1"/>
    </row>
    <row r="6" ht="12.75" customHeight="1">
      <c r="A6" s="6" t="s">
        <v>5</v>
      </c>
      <c r="B6" s="6" t="s">
        <v>6</v>
      </c>
      <c r="C6" s="7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7" t="s">
        <v>13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2.75" customHeight="1">
      <c r="A7" s="10" t="s">
        <v>14</v>
      </c>
      <c r="B7" s="11" t="s">
        <v>15</v>
      </c>
      <c r="C7" s="11" t="s">
        <v>16</v>
      </c>
      <c r="D7" s="12">
        <v>45940.0</v>
      </c>
      <c r="E7" s="10">
        <v>20.0</v>
      </c>
      <c r="F7" s="13" t="b">
        <v>1</v>
      </c>
      <c r="G7" s="10">
        <f t="shared" ref="G7:G21" si="1">E7*F7</f>
        <v>20</v>
      </c>
      <c r="I7" s="14" t="s">
        <v>17</v>
      </c>
    </row>
    <row r="8" ht="25.5" customHeight="1">
      <c r="A8" s="10" t="s">
        <v>18</v>
      </c>
      <c r="B8" s="11" t="s">
        <v>19</v>
      </c>
      <c r="C8" s="11" t="s">
        <v>20</v>
      </c>
      <c r="D8" s="12">
        <v>45940.0</v>
      </c>
      <c r="E8" s="10">
        <v>30.0</v>
      </c>
      <c r="F8" s="15" t="b">
        <v>0</v>
      </c>
      <c r="G8" s="10">
        <f t="shared" si="1"/>
        <v>0</v>
      </c>
      <c r="H8" s="11"/>
      <c r="I8" s="16" t="s">
        <v>21</v>
      </c>
    </row>
    <row r="9" ht="12.75" customHeight="1">
      <c r="A9" s="10" t="s">
        <v>22</v>
      </c>
      <c r="B9" s="11"/>
      <c r="C9" s="11"/>
      <c r="D9" s="17"/>
      <c r="E9" s="10"/>
      <c r="F9" s="15" t="b">
        <v>0</v>
      </c>
      <c r="G9" s="10">
        <f t="shared" si="1"/>
        <v>0</v>
      </c>
      <c r="I9" s="14" t="s">
        <v>21</v>
      </c>
    </row>
    <row r="10" ht="38.25" customHeight="1">
      <c r="A10" s="10" t="s">
        <v>23</v>
      </c>
      <c r="B10" s="18" t="s">
        <v>24</v>
      </c>
      <c r="C10" s="19" t="s">
        <v>25</v>
      </c>
      <c r="D10" s="17">
        <v>45957.0</v>
      </c>
      <c r="E10" s="10">
        <v>10.0</v>
      </c>
      <c r="F10" s="15" t="b">
        <v>0</v>
      </c>
      <c r="G10" s="10">
        <f t="shared" si="1"/>
        <v>0</v>
      </c>
      <c r="I10" s="14" t="s">
        <v>21</v>
      </c>
    </row>
    <row r="11" ht="12.75" customHeight="1">
      <c r="A11" s="10" t="s">
        <v>26</v>
      </c>
      <c r="B11" s="11"/>
      <c r="C11" s="11"/>
      <c r="D11" s="17"/>
      <c r="E11" s="10"/>
      <c r="F11" s="15" t="b">
        <v>0</v>
      </c>
      <c r="G11" s="10">
        <f t="shared" si="1"/>
        <v>0</v>
      </c>
      <c r="H11" s="11"/>
      <c r="I11" s="16" t="s">
        <v>21</v>
      </c>
    </row>
    <row r="12" ht="12.75" customHeight="1">
      <c r="A12" s="10" t="s">
        <v>27</v>
      </c>
      <c r="B12" s="11"/>
      <c r="C12" s="11"/>
      <c r="D12" s="17"/>
      <c r="E12" s="10"/>
      <c r="F12" s="15" t="b">
        <v>0</v>
      </c>
      <c r="G12" s="10">
        <f t="shared" si="1"/>
        <v>0</v>
      </c>
      <c r="H12" s="11"/>
      <c r="I12" s="16" t="s">
        <v>21</v>
      </c>
    </row>
    <row r="13" ht="30.0" customHeight="1">
      <c r="A13" s="10" t="s">
        <v>28</v>
      </c>
      <c r="B13" s="11" t="s">
        <v>29</v>
      </c>
      <c r="C13" s="11" t="s">
        <v>30</v>
      </c>
      <c r="D13" s="17">
        <v>45957.0</v>
      </c>
      <c r="E13" s="10"/>
      <c r="F13" s="15" t="b">
        <v>0</v>
      </c>
      <c r="G13" s="10">
        <f t="shared" si="1"/>
        <v>0</v>
      </c>
      <c r="H13" s="11"/>
      <c r="I13" s="16" t="s">
        <v>21</v>
      </c>
    </row>
    <row r="14" ht="20.25" customHeight="1">
      <c r="A14" s="10" t="s">
        <v>31</v>
      </c>
      <c r="B14" s="11"/>
      <c r="C14" s="11"/>
      <c r="D14" s="17"/>
      <c r="E14" s="10"/>
      <c r="F14" s="15" t="b">
        <v>0</v>
      </c>
      <c r="G14" s="10">
        <f t="shared" si="1"/>
        <v>0</v>
      </c>
      <c r="H14" s="11"/>
      <c r="I14" s="16" t="s">
        <v>21</v>
      </c>
    </row>
    <row r="15" ht="12.75" customHeight="1">
      <c r="A15" s="10" t="s">
        <v>32</v>
      </c>
      <c r="B15" s="11" t="s">
        <v>33</v>
      </c>
      <c r="C15" s="11" t="s">
        <v>34</v>
      </c>
      <c r="D15" s="17">
        <v>45957.0</v>
      </c>
      <c r="E15" s="10"/>
      <c r="F15" s="15" t="b">
        <v>1</v>
      </c>
      <c r="G15" s="10">
        <f t="shared" si="1"/>
        <v>0</v>
      </c>
      <c r="H15" s="11"/>
      <c r="I15" s="16" t="s">
        <v>17</v>
      </c>
    </row>
    <row r="16" ht="12.75" customHeight="1">
      <c r="A16" s="10" t="s">
        <v>35</v>
      </c>
      <c r="B16" s="11" t="s">
        <v>36</v>
      </c>
      <c r="C16" s="11" t="s">
        <v>37</v>
      </c>
      <c r="D16" s="17">
        <v>45957.0</v>
      </c>
      <c r="E16" s="10"/>
      <c r="F16" s="15" t="b">
        <v>1</v>
      </c>
      <c r="G16" s="10">
        <f t="shared" si="1"/>
        <v>0</v>
      </c>
      <c r="H16" s="11"/>
      <c r="I16" s="16" t="s">
        <v>17</v>
      </c>
    </row>
    <row r="17" ht="12.75" customHeight="1">
      <c r="A17" s="10" t="s">
        <v>38</v>
      </c>
      <c r="B17" s="11" t="s">
        <v>39</v>
      </c>
      <c r="C17" s="11" t="s">
        <v>40</v>
      </c>
      <c r="D17" s="12">
        <v>45940.0</v>
      </c>
      <c r="E17" s="10">
        <v>15.0</v>
      </c>
      <c r="F17" s="15" t="b">
        <v>0</v>
      </c>
      <c r="G17" s="10">
        <f t="shared" si="1"/>
        <v>0</v>
      </c>
      <c r="I17" s="14" t="s">
        <v>41</v>
      </c>
    </row>
    <row r="18" ht="27.75" customHeight="1">
      <c r="A18" s="10" t="s">
        <v>42</v>
      </c>
      <c r="B18" s="11" t="s">
        <v>43</v>
      </c>
      <c r="C18" s="11" t="s">
        <v>44</v>
      </c>
      <c r="D18" s="12">
        <v>45940.0</v>
      </c>
      <c r="E18" s="10">
        <v>5.0</v>
      </c>
      <c r="F18" s="15" t="b">
        <v>1</v>
      </c>
      <c r="G18" s="10">
        <f t="shared" si="1"/>
        <v>5</v>
      </c>
      <c r="I18" s="14" t="s">
        <v>17</v>
      </c>
    </row>
    <row r="19" ht="22.5" customHeight="1">
      <c r="A19" s="10" t="s">
        <v>45</v>
      </c>
      <c r="B19" s="11" t="s">
        <v>46</v>
      </c>
      <c r="C19" s="11" t="s">
        <v>47</v>
      </c>
      <c r="D19" s="12">
        <v>45940.0</v>
      </c>
      <c r="E19" s="10">
        <v>1.0</v>
      </c>
      <c r="F19" s="15" t="b">
        <v>0</v>
      </c>
      <c r="G19" s="10">
        <f t="shared" si="1"/>
        <v>0</v>
      </c>
      <c r="I19" s="14" t="s">
        <v>21</v>
      </c>
    </row>
    <row r="20" ht="22.5" customHeight="1">
      <c r="A20" s="10" t="s">
        <v>48</v>
      </c>
      <c r="B20" s="11" t="s">
        <v>49</v>
      </c>
      <c r="C20" s="11" t="s">
        <v>50</v>
      </c>
      <c r="D20" s="17">
        <v>45957.0</v>
      </c>
      <c r="E20" s="10">
        <v>8.0</v>
      </c>
      <c r="F20" s="15" t="b">
        <v>1</v>
      </c>
      <c r="G20" s="10">
        <f t="shared" si="1"/>
        <v>8</v>
      </c>
      <c r="H20" s="11"/>
      <c r="I20" s="16" t="s">
        <v>17</v>
      </c>
    </row>
    <row r="21" ht="22.5" customHeight="1">
      <c r="A21" s="10" t="s">
        <v>51</v>
      </c>
      <c r="B21" s="11" t="s">
        <v>52</v>
      </c>
      <c r="C21" s="18" t="s">
        <v>53</v>
      </c>
      <c r="D21" s="17">
        <v>45957.0</v>
      </c>
      <c r="E21" s="10">
        <v>4.0</v>
      </c>
      <c r="F21" s="15" t="b">
        <v>1</v>
      </c>
      <c r="G21" s="10">
        <f t="shared" si="1"/>
        <v>4</v>
      </c>
      <c r="H21" s="11"/>
      <c r="I21" s="16" t="s">
        <v>17</v>
      </c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</sheetData>
  <dataValidations>
    <dataValidation type="custom" allowBlank="1" showDropDown="1" sqref="D7:D21">
      <formula1>OR(NOT(ISERROR(DATEVALUE(D7))), AND(ISNUMBER(D7), LEFT(CELL("format", D7))="D"))</formula1>
    </dataValidation>
    <dataValidation type="list" allowBlank="1" sqref="I7:I21">
      <formula1>"Not Started,Started,Complete"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7.13"/>
  </cols>
  <sheetData>
    <row r="1">
      <c r="A1" s="20" t="s">
        <v>54</v>
      </c>
      <c r="B1" s="20"/>
      <c r="C1" s="20"/>
      <c r="D1" s="2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0" t="s">
        <v>55</v>
      </c>
      <c r="B2" s="20"/>
      <c r="C2" s="20"/>
      <c r="D2" s="20"/>
    </row>
    <row r="3">
      <c r="A3" s="20" t="s">
        <v>56</v>
      </c>
      <c r="B3" s="20"/>
      <c r="C3" s="20"/>
      <c r="D3" s="20"/>
    </row>
    <row r="4">
      <c r="A4" s="20" t="s">
        <v>57</v>
      </c>
      <c r="B4" s="20"/>
      <c r="C4" s="20"/>
      <c r="D4" s="20"/>
    </row>
    <row r="5">
      <c r="A5" s="20" t="s">
        <v>58</v>
      </c>
      <c r="B5" s="20"/>
      <c r="C5" s="20"/>
      <c r="D5" s="20"/>
    </row>
    <row r="6">
      <c r="A6" s="20" t="s">
        <v>59</v>
      </c>
      <c r="B6" s="20"/>
      <c r="C6" s="20"/>
      <c r="D6" s="20"/>
    </row>
    <row r="7">
      <c r="A7" s="20" t="s">
        <v>60</v>
      </c>
      <c r="B7" s="20"/>
      <c r="C7" s="20"/>
      <c r="D7" s="20"/>
    </row>
    <row r="8">
      <c r="A8" s="20" t="s">
        <v>61</v>
      </c>
      <c r="B8" s="20"/>
      <c r="C8" s="20"/>
      <c r="D8" s="20"/>
    </row>
    <row r="9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>
      <c r="A10" s="21" t="s">
        <v>62</v>
      </c>
      <c r="B10" s="21" t="s">
        <v>63</v>
      </c>
      <c r="C10" s="22" t="s">
        <v>11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>
      <c r="A11" s="24">
        <v>45944.0</v>
      </c>
      <c r="B11" s="25" t="str">
        <f>SUMVALID($A13, 'Burn up Chart'!$B$12, "Title", "Valid from", "Estimate")
</f>
        <v>#NAME?</v>
      </c>
      <c r="C11" s="25" t="str">
        <f>sumValid($A11, 'SCRUM Board'!$B$6:$G$21, "Story ID", "Valid from", "Work done")</f>
        <v>#NAME?</v>
      </c>
    </row>
    <row r="12">
      <c r="A12" s="24">
        <v>45945.0</v>
      </c>
      <c r="B12" s="25" t="str">
        <f>sumValid(B11, 'SCRU,M Board'!$B$6:$H$22, ["Valid from", "Estimate"])</f>
        <v>#ERROR!</v>
      </c>
      <c r="C12" s="25" t="str">
        <f>sumValid($A12, 'SCRUM Board'!$B$6:$G$21, "Story ID", "Valid from", "Work done")</f>
        <v>#NAME?</v>
      </c>
    </row>
    <row r="13">
      <c r="A13" s="24">
        <v>45946.0</v>
      </c>
      <c r="B13" s="25" t="str">
        <f>sumValid($A13, 'SCRUM Board'!$B$6:$G$21, "Story ID", "Valid from", "Estimate")</f>
        <v>#NAME?</v>
      </c>
      <c r="C13" s="25" t="str">
        <f>sumValid($A13, 'SCRUM Board'!$B$6:$G$21, "Story ID", "Valid from", "Work done")</f>
        <v>#NAME?</v>
      </c>
    </row>
    <row r="14">
      <c r="A14" s="24">
        <v>45947.0</v>
      </c>
      <c r="B14" s="25" t="str">
        <f>sumValid($A14, 'SCRUM Board'!$B$6:$G$21, "Story ID", "Valid from", "Estimate")</f>
        <v>#NAME?</v>
      </c>
      <c r="C14" s="25" t="str">
        <f>sumValid($A14, 'SCRUM Board'!$B$6:$G$21, "Story ID", "Valid from", "Work done")</f>
        <v>#NAME?</v>
      </c>
    </row>
    <row r="15">
      <c r="A15" s="24">
        <v>45948.0</v>
      </c>
      <c r="B15" s="25" t="str">
        <f>sumValid($A15, 'SCRUM Board'!$B$6:$G$21, "Story ID", "Valid from", "Estimate")</f>
        <v>#NAME?</v>
      </c>
      <c r="C15" s="25" t="str">
        <f>sumValid($A15, 'SCRUM Board'!$B$6:$G$21, "Story ID", "Valid from", "Work done")</f>
        <v>#NAME?</v>
      </c>
    </row>
    <row r="16">
      <c r="A16" s="24">
        <v>45949.0</v>
      </c>
      <c r="B16" s="25" t="str">
        <f>sumValid($A16, 'SCRUM Board'!$B$6:$G$21, "Story ID", "Valid from", "Estimate")</f>
        <v>#NAME?</v>
      </c>
      <c r="C16" s="25" t="str">
        <f>sumValid($A16, 'SCRUM Board'!$B$6:$G$21, "Story ID", "Valid from", "Work done")</f>
        <v>#NAME?</v>
      </c>
    </row>
    <row r="17">
      <c r="A17" s="24">
        <v>45950.0</v>
      </c>
      <c r="B17" s="25" t="str">
        <f>sumValid($A17, 'SCRUM Board'!$B$6:$G$21, "Story ID", "Valid from", "Estimate")</f>
        <v>#NAME?</v>
      </c>
      <c r="C17" s="25" t="str">
        <f>sumValid($A17, 'SCRUM Board'!$B$6:$G$21, "Story ID", "Valid from", "Work done")</f>
        <v>#NAME?</v>
      </c>
    </row>
    <row r="18">
      <c r="A18" s="24">
        <v>45951.0</v>
      </c>
      <c r="B18" s="25" t="str">
        <f>sumValid($A18, 'SCRUM Board'!$B$6:$G$21, "Story ID", "Valid from", "Estimate")</f>
        <v>#NAME?</v>
      </c>
      <c r="C18" s="25" t="str">
        <f>sumValid($A18, 'SCRUM Board'!$B$6:$G$21, "Story ID", "Valid from", "Work done")</f>
        <v>#NAME?</v>
      </c>
    </row>
    <row r="19">
      <c r="A19" s="24">
        <v>45952.0</v>
      </c>
      <c r="B19" s="25" t="str">
        <f>sumValid($A19, 'SCRUM Board'!$B$6:$G$21, "Story ID", "Valid from", "Estimate")</f>
        <v>#NAME?</v>
      </c>
      <c r="C19" s="25" t="str">
        <f>sumValid($A19, 'SCRUM Board'!$B$6:$G$21, "Story ID", "Valid from", "Work done")</f>
        <v>#NAME?</v>
      </c>
    </row>
    <row r="20">
      <c r="A20" s="24">
        <v>45953.0</v>
      </c>
      <c r="B20" s="25" t="str">
        <f>sumValid($A20, 'SCRUM Board'!$B$6:$G$21, "Story ID", "Valid from", "Estimate")</f>
        <v>#NAME?</v>
      </c>
      <c r="C20" s="25" t="str">
        <f>sumValid($A20, 'SCRUM Board'!$B$6:$G$21, "Story ID", "Valid from", "Work done")</f>
        <v>#NAME?</v>
      </c>
    </row>
    <row r="21">
      <c r="A21" s="24">
        <v>45954.0</v>
      </c>
      <c r="B21" s="25" t="str">
        <f>sumValid($A21, 'SCRUM Board'!$B$6:$G$21, "Story ID", "Valid from", "Estimate")</f>
        <v>#NAME?</v>
      </c>
      <c r="C21" s="25" t="str">
        <f>sumValid($A21, 'SCRUM Board'!$B$6:$G$21, "Story ID", "Valid from", "Work done")</f>
        <v>#NAME?</v>
      </c>
    </row>
    <row r="22">
      <c r="A22" s="24">
        <v>45955.0</v>
      </c>
      <c r="B22" s="25" t="str">
        <f>sumValid($A22, 'SCRUM Board'!$B$6:$G$21, "Story ID", "Valid from", "Estimate")</f>
        <v>#NAME?</v>
      </c>
      <c r="C22" s="25" t="str">
        <f>sumValid($A22, 'SCRUM Board'!$B$6:$G$21, "Story ID", "Valid from", "Work done")</f>
        <v>#NAME?</v>
      </c>
    </row>
    <row r="23">
      <c r="A23" s="24">
        <v>45956.0</v>
      </c>
      <c r="B23" s="25" t="str">
        <f>sumValid($A23, 'SCRUM Board'!$B$6:$G$21, "Story ID", "Valid from", "Estimate")</f>
        <v>#NAME?</v>
      </c>
      <c r="C23" s="25" t="str">
        <f>sumValid($A23, 'SCRUM Board'!$B$6:$G$21, "Story ID", "Valid from", "Work done")</f>
        <v>#NAME?</v>
      </c>
    </row>
    <row r="24">
      <c r="A24" s="24">
        <v>45957.0</v>
      </c>
      <c r="B24" s="25" t="str">
        <f>sumValid($A24, 'SCRUM Board'!$B$6:$G$21, "Story ID", "Valid from", "Estimate")</f>
        <v>#NAME?</v>
      </c>
      <c r="C24" s="25" t="str">
        <f>sumValid($A24, 'SCRUM Board'!$B$6:$G$21, "Story ID", "Valid from", "Work done")</f>
        <v>#NAME?</v>
      </c>
    </row>
    <row r="25">
      <c r="A25" s="26"/>
      <c r="B25" s="27"/>
    </row>
    <row r="26">
      <c r="A26" s="26"/>
      <c r="B26" s="27"/>
    </row>
    <row r="42">
      <c r="A42" s="26"/>
      <c r="B42" s="27"/>
    </row>
    <row r="43">
      <c r="A43" s="26"/>
      <c r="B43" s="27"/>
    </row>
    <row r="44">
      <c r="A44" s="26"/>
      <c r="B44" s="27"/>
    </row>
    <row r="45">
      <c r="A45" s="26"/>
      <c r="B45" s="27"/>
    </row>
    <row r="46">
      <c r="A46" s="26"/>
      <c r="B46" s="27"/>
    </row>
    <row r="47">
      <c r="A47" s="26"/>
      <c r="B47" s="27"/>
    </row>
    <row r="48">
      <c r="A48" s="26"/>
      <c r="B48" s="27"/>
    </row>
    <row r="49">
      <c r="A49" s="26"/>
      <c r="B49" s="27"/>
    </row>
    <row r="50">
      <c r="A50" s="26"/>
      <c r="B50" s="27"/>
    </row>
    <row r="51">
      <c r="B51" s="28"/>
    </row>
    <row r="52">
      <c r="B52" s="28"/>
    </row>
    <row r="53">
      <c r="B53" s="28"/>
    </row>
    <row r="54">
      <c r="B54" s="28"/>
    </row>
    <row r="55">
      <c r="B55" s="28"/>
    </row>
    <row r="56">
      <c r="B56" s="28"/>
    </row>
    <row r="57">
      <c r="B57" s="28"/>
    </row>
    <row r="58">
      <c r="B58" s="28"/>
    </row>
    <row r="59">
      <c r="B59" s="28"/>
    </row>
    <row r="60">
      <c r="B60" s="28"/>
    </row>
    <row r="61">
      <c r="B61" s="28"/>
    </row>
    <row r="62">
      <c r="B62" s="28"/>
    </row>
    <row r="63">
      <c r="B63" s="28"/>
    </row>
    <row r="64">
      <c r="B64" s="28"/>
    </row>
    <row r="65">
      <c r="B65" s="28"/>
    </row>
    <row r="66">
      <c r="B66" s="28"/>
    </row>
    <row r="67">
      <c r="B67" s="28"/>
    </row>
    <row r="68">
      <c r="B68" s="28"/>
    </row>
    <row r="69">
      <c r="B69" s="28"/>
    </row>
    <row r="70">
      <c r="B70" s="28"/>
    </row>
    <row r="71">
      <c r="B71" s="28"/>
    </row>
    <row r="72">
      <c r="B72" s="28"/>
    </row>
    <row r="73">
      <c r="B73" s="28"/>
    </row>
    <row r="74">
      <c r="B74" s="28"/>
    </row>
    <row r="75">
      <c r="B75" s="28"/>
    </row>
    <row r="76">
      <c r="B76" s="28"/>
    </row>
    <row r="77">
      <c r="B77" s="28"/>
    </row>
    <row r="78">
      <c r="B78" s="28"/>
    </row>
    <row r="79">
      <c r="B79" s="28"/>
    </row>
    <row r="80">
      <c r="B80" s="28"/>
    </row>
    <row r="81">
      <c r="B81" s="28"/>
    </row>
    <row r="82">
      <c r="B82" s="28"/>
    </row>
    <row r="83">
      <c r="B83" s="28"/>
    </row>
    <row r="84">
      <c r="B84" s="28"/>
    </row>
    <row r="85">
      <c r="B85" s="28"/>
    </row>
    <row r="86">
      <c r="B86" s="28"/>
    </row>
    <row r="87">
      <c r="B87" s="28"/>
    </row>
    <row r="88">
      <c r="B88" s="28"/>
    </row>
    <row r="89">
      <c r="B89" s="28"/>
    </row>
    <row r="90">
      <c r="B90" s="28"/>
    </row>
    <row r="91">
      <c r="B91" s="28"/>
    </row>
    <row r="92">
      <c r="B92" s="28"/>
    </row>
    <row r="93">
      <c r="B93" s="28"/>
    </row>
    <row r="94">
      <c r="B94" s="28"/>
    </row>
    <row r="95">
      <c r="B95" s="28"/>
    </row>
    <row r="96">
      <c r="B96" s="28"/>
    </row>
    <row r="97">
      <c r="B97" s="28"/>
    </row>
    <row r="98">
      <c r="B98" s="28"/>
    </row>
    <row r="99">
      <c r="B99" s="28"/>
    </row>
    <row r="100">
      <c r="B100" s="28"/>
    </row>
    <row r="101">
      <c r="B101" s="28"/>
    </row>
    <row r="102">
      <c r="B102" s="28"/>
    </row>
    <row r="103">
      <c r="B103" s="28"/>
    </row>
    <row r="104">
      <c r="B104" s="28"/>
    </row>
    <row r="105">
      <c r="B105" s="28"/>
    </row>
    <row r="106">
      <c r="B106" s="28"/>
    </row>
    <row r="107">
      <c r="B107" s="28"/>
    </row>
    <row r="108">
      <c r="B108" s="28"/>
    </row>
    <row r="109">
      <c r="B109" s="28"/>
    </row>
    <row r="110">
      <c r="B110" s="28"/>
    </row>
    <row r="111">
      <c r="B111" s="28"/>
    </row>
    <row r="112">
      <c r="B112" s="28"/>
    </row>
    <row r="113">
      <c r="B113" s="28"/>
    </row>
    <row r="114">
      <c r="B114" s="28"/>
    </row>
    <row r="115">
      <c r="B115" s="28"/>
    </row>
    <row r="116">
      <c r="B116" s="28"/>
    </row>
    <row r="117">
      <c r="B117" s="28"/>
    </row>
    <row r="118">
      <c r="B118" s="28"/>
    </row>
    <row r="119">
      <c r="B119" s="28"/>
    </row>
    <row r="120">
      <c r="B120" s="28"/>
    </row>
    <row r="121">
      <c r="B121" s="28"/>
    </row>
    <row r="122">
      <c r="B122" s="28"/>
    </row>
    <row r="123">
      <c r="B123" s="28"/>
    </row>
    <row r="124">
      <c r="B124" s="28"/>
    </row>
    <row r="125">
      <c r="B125" s="28"/>
    </row>
    <row r="126">
      <c r="B126" s="28"/>
    </row>
    <row r="127">
      <c r="B127" s="28"/>
    </row>
    <row r="128">
      <c r="B128" s="28"/>
    </row>
    <row r="129">
      <c r="B129" s="28"/>
    </row>
    <row r="130">
      <c r="B130" s="28"/>
    </row>
    <row r="131">
      <c r="B131" s="28"/>
    </row>
    <row r="132">
      <c r="B132" s="28"/>
    </row>
    <row r="133">
      <c r="B133" s="28"/>
    </row>
    <row r="134">
      <c r="B134" s="28"/>
    </row>
    <row r="135">
      <c r="B135" s="28"/>
    </row>
    <row r="136">
      <c r="B136" s="28"/>
    </row>
    <row r="137">
      <c r="B137" s="28"/>
    </row>
    <row r="138">
      <c r="B138" s="28"/>
    </row>
    <row r="139">
      <c r="B139" s="28"/>
    </row>
    <row r="140">
      <c r="B140" s="28"/>
    </row>
    <row r="141">
      <c r="B141" s="28"/>
    </row>
    <row r="142">
      <c r="B142" s="28"/>
    </row>
    <row r="143">
      <c r="B143" s="28"/>
    </row>
    <row r="144">
      <c r="B144" s="28"/>
    </row>
    <row r="145">
      <c r="B145" s="28"/>
    </row>
    <row r="146">
      <c r="B146" s="28"/>
    </row>
    <row r="147">
      <c r="B147" s="28"/>
    </row>
    <row r="148">
      <c r="B148" s="28"/>
    </row>
    <row r="149">
      <c r="B149" s="28"/>
    </row>
    <row r="150">
      <c r="B150" s="28"/>
    </row>
    <row r="151">
      <c r="B151" s="28"/>
    </row>
    <row r="152">
      <c r="B152" s="28"/>
    </row>
    <row r="153">
      <c r="B153" s="28"/>
    </row>
    <row r="154">
      <c r="B154" s="28"/>
    </row>
    <row r="155">
      <c r="B155" s="28"/>
    </row>
    <row r="156">
      <c r="B156" s="28"/>
    </row>
    <row r="157">
      <c r="B157" s="28"/>
    </row>
    <row r="158">
      <c r="B158" s="28"/>
    </row>
    <row r="159">
      <c r="B159" s="28"/>
    </row>
    <row r="160">
      <c r="B160" s="28"/>
    </row>
    <row r="161">
      <c r="B161" s="28"/>
    </row>
    <row r="162">
      <c r="B162" s="28"/>
    </row>
    <row r="163">
      <c r="B163" s="28"/>
    </row>
    <row r="164">
      <c r="B164" s="28"/>
    </row>
    <row r="165">
      <c r="B165" s="28"/>
    </row>
    <row r="166">
      <c r="B166" s="28"/>
    </row>
    <row r="167">
      <c r="B167" s="28"/>
    </row>
    <row r="168">
      <c r="B168" s="28"/>
    </row>
    <row r="169">
      <c r="B169" s="28"/>
    </row>
    <row r="170">
      <c r="B170" s="28"/>
    </row>
    <row r="171">
      <c r="B171" s="28"/>
    </row>
    <row r="172">
      <c r="B172" s="28"/>
    </row>
    <row r="173">
      <c r="B173" s="28"/>
    </row>
    <row r="174">
      <c r="B174" s="28"/>
    </row>
    <row r="175">
      <c r="B175" s="28"/>
    </row>
    <row r="176">
      <c r="B176" s="28"/>
    </row>
    <row r="177">
      <c r="B177" s="28"/>
    </row>
    <row r="178">
      <c r="B178" s="28"/>
    </row>
    <row r="179">
      <c r="B179" s="28"/>
    </row>
    <row r="180">
      <c r="B180" s="28"/>
    </row>
    <row r="181">
      <c r="B181" s="28"/>
    </row>
    <row r="182">
      <c r="B182" s="28"/>
    </row>
    <row r="183">
      <c r="B183" s="28"/>
    </row>
    <row r="184">
      <c r="B184" s="28"/>
    </row>
    <row r="185">
      <c r="B185" s="28"/>
    </row>
    <row r="186">
      <c r="B186" s="28"/>
    </row>
    <row r="187">
      <c r="B187" s="28"/>
    </row>
    <row r="188">
      <c r="B188" s="28"/>
    </row>
    <row r="189">
      <c r="B189" s="28"/>
    </row>
    <row r="190">
      <c r="B190" s="28"/>
    </row>
    <row r="191">
      <c r="B191" s="28"/>
    </row>
    <row r="192">
      <c r="B192" s="28"/>
    </row>
    <row r="193">
      <c r="B193" s="28"/>
    </row>
    <row r="194">
      <c r="B194" s="28"/>
    </row>
    <row r="195">
      <c r="B195" s="28"/>
    </row>
    <row r="196">
      <c r="B196" s="28"/>
    </row>
    <row r="197">
      <c r="B197" s="28"/>
    </row>
    <row r="198">
      <c r="B198" s="28"/>
    </row>
    <row r="199">
      <c r="B199" s="28"/>
    </row>
    <row r="200">
      <c r="B200" s="28"/>
    </row>
    <row r="201">
      <c r="B201" s="28"/>
    </row>
    <row r="202">
      <c r="B202" s="28"/>
    </row>
    <row r="203">
      <c r="B203" s="28"/>
    </row>
    <row r="204">
      <c r="B204" s="28"/>
    </row>
    <row r="205">
      <c r="B205" s="28"/>
    </row>
    <row r="206">
      <c r="B206" s="28"/>
    </row>
    <row r="207">
      <c r="B207" s="28"/>
    </row>
    <row r="208">
      <c r="B208" s="28"/>
    </row>
    <row r="209">
      <c r="B209" s="28"/>
    </row>
    <row r="210">
      <c r="B210" s="28"/>
    </row>
    <row r="211">
      <c r="B211" s="28"/>
    </row>
    <row r="212">
      <c r="B212" s="28"/>
    </row>
    <row r="213">
      <c r="B213" s="28"/>
    </row>
    <row r="214">
      <c r="B214" s="28"/>
    </row>
    <row r="215">
      <c r="B215" s="28"/>
    </row>
    <row r="216">
      <c r="B216" s="28"/>
    </row>
    <row r="217">
      <c r="B217" s="28"/>
    </row>
    <row r="218">
      <c r="B218" s="28"/>
    </row>
    <row r="219">
      <c r="B219" s="28"/>
    </row>
    <row r="220">
      <c r="B220" s="28"/>
    </row>
    <row r="221">
      <c r="B221" s="28"/>
    </row>
    <row r="222">
      <c r="B222" s="28"/>
    </row>
    <row r="223">
      <c r="B223" s="28"/>
    </row>
    <row r="224">
      <c r="B224" s="28"/>
    </row>
    <row r="225">
      <c r="B225" s="28"/>
    </row>
    <row r="226">
      <c r="B226" s="28"/>
    </row>
    <row r="227">
      <c r="B227" s="28"/>
    </row>
    <row r="228">
      <c r="B228" s="28"/>
    </row>
    <row r="229">
      <c r="B229" s="28"/>
    </row>
    <row r="230">
      <c r="B230" s="28"/>
    </row>
    <row r="231">
      <c r="B231" s="28"/>
    </row>
    <row r="232">
      <c r="B232" s="28"/>
    </row>
    <row r="233">
      <c r="B233" s="28"/>
    </row>
    <row r="234">
      <c r="B234" s="28"/>
    </row>
    <row r="235">
      <c r="B235" s="28"/>
    </row>
    <row r="236">
      <c r="B236" s="28"/>
    </row>
    <row r="237">
      <c r="B237" s="28"/>
    </row>
    <row r="238">
      <c r="B238" s="28"/>
    </row>
    <row r="239">
      <c r="B239" s="28"/>
    </row>
    <row r="240">
      <c r="B240" s="28"/>
    </row>
    <row r="241">
      <c r="B241" s="28"/>
    </row>
    <row r="242">
      <c r="B242" s="28"/>
    </row>
    <row r="243">
      <c r="B243" s="28"/>
    </row>
    <row r="244">
      <c r="B244" s="28"/>
    </row>
    <row r="245">
      <c r="B245" s="28"/>
    </row>
    <row r="246">
      <c r="B246" s="28"/>
    </row>
    <row r="247">
      <c r="B247" s="28"/>
    </row>
    <row r="248">
      <c r="B248" s="28"/>
    </row>
    <row r="249">
      <c r="B249" s="28"/>
    </row>
    <row r="250">
      <c r="B250" s="28"/>
    </row>
    <row r="251">
      <c r="B251" s="28"/>
    </row>
    <row r="252">
      <c r="B252" s="28"/>
    </row>
    <row r="253">
      <c r="B253" s="28"/>
    </row>
    <row r="254">
      <c r="B254" s="28"/>
    </row>
    <row r="255">
      <c r="B255" s="28"/>
    </row>
    <row r="256">
      <c r="B256" s="28"/>
    </row>
    <row r="257">
      <c r="B257" s="28"/>
    </row>
    <row r="258">
      <c r="B258" s="28"/>
    </row>
    <row r="259">
      <c r="B259" s="28"/>
    </row>
    <row r="260">
      <c r="B260" s="28"/>
    </row>
    <row r="261">
      <c r="B261" s="28"/>
    </row>
    <row r="262">
      <c r="B262" s="28"/>
    </row>
    <row r="263">
      <c r="B263" s="28"/>
    </row>
    <row r="264">
      <c r="B264" s="28"/>
    </row>
    <row r="265">
      <c r="B265" s="28"/>
    </row>
    <row r="266">
      <c r="B266" s="28"/>
    </row>
    <row r="267">
      <c r="B267" s="28"/>
    </row>
    <row r="268">
      <c r="B268" s="28"/>
    </row>
    <row r="269">
      <c r="B269" s="28"/>
    </row>
    <row r="270">
      <c r="B270" s="28"/>
    </row>
    <row r="271">
      <c r="B271" s="28"/>
    </row>
    <row r="272">
      <c r="B272" s="28"/>
    </row>
    <row r="273">
      <c r="B273" s="28"/>
    </row>
    <row r="274">
      <c r="B274" s="28"/>
    </row>
    <row r="275">
      <c r="B275" s="28"/>
    </row>
    <row r="276">
      <c r="B276" s="28"/>
    </row>
    <row r="277">
      <c r="B277" s="28"/>
    </row>
    <row r="278">
      <c r="B278" s="28"/>
    </row>
    <row r="279">
      <c r="B279" s="28"/>
    </row>
    <row r="280">
      <c r="B280" s="28"/>
    </row>
    <row r="281">
      <c r="B281" s="28"/>
    </row>
    <row r="282">
      <c r="B282" s="28"/>
    </row>
    <row r="283">
      <c r="B283" s="28"/>
    </row>
    <row r="284">
      <c r="B284" s="28"/>
    </row>
    <row r="285">
      <c r="B285" s="28"/>
    </row>
    <row r="286">
      <c r="B286" s="28"/>
    </row>
    <row r="287">
      <c r="B287" s="28"/>
    </row>
    <row r="288">
      <c r="B288" s="28"/>
    </row>
    <row r="289">
      <c r="B289" s="28"/>
    </row>
    <row r="290">
      <c r="B290" s="28"/>
    </row>
    <row r="291">
      <c r="B291" s="28"/>
    </row>
    <row r="292">
      <c r="B292" s="28"/>
    </row>
    <row r="293">
      <c r="B293" s="28"/>
    </row>
    <row r="294">
      <c r="B294" s="28"/>
    </row>
    <row r="295">
      <c r="B295" s="28"/>
    </row>
    <row r="296">
      <c r="B296" s="28"/>
    </row>
    <row r="297">
      <c r="B297" s="28"/>
    </row>
    <row r="298">
      <c r="B298" s="28"/>
    </row>
    <row r="299">
      <c r="B299" s="28"/>
    </row>
    <row r="300">
      <c r="B300" s="28"/>
    </row>
    <row r="301">
      <c r="B301" s="28"/>
    </row>
    <row r="302">
      <c r="B302" s="28"/>
    </row>
    <row r="303">
      <c r="B303" s="28"/>
    </row>
    <row r="304">
      <c r="B304" s="28"/>
    </row>
    <row r="305">
      <c r="B305" s="28"/>
    </row>
    <row r="306">
      <c r="B306" s="28"/>
    </row>
    <row r="307">
      <c r="B307" s="28"/>
    </row>
    <row r="308">
      <c r="B308" s="28"/>
    </row>
    <row r="309">
      <c r="B309" s="28"/>
    </row>
    <row r="310">
      <c r="B310" s="28"/>
    </row>
    <row r="311">
      <c r="B311" s="28"/>
    </row>
    <row r="312">
      <c r="B312" s="28"/>
    </row>
    <row r="313">
      <c r="B313" s="28"/>
    </row>
    <row r="314">
      <c r="B314" s="28"/>
    </row>
    <row r="315">
      <c r="B315" s="28"/>
    </row>
    <row r="316">
      <c r="B316" s="28"/>
    </row>
    <row r="317">
      <c r="B317" s="28"/>
    </row>
    <row r="318">
      <c r="B318" s="28"/>
    </row>
    <row r="319">
      <c r="B319" s="28"/>
    </row>
    <row r="320">
      <c r="B320" s="28"/>
    </row>
    <row r="321">
      <c r="B321" s="28"/>
    </row>
    <row r="322">
      <c r="B322" s="28"/>
    </row>
    <row r="323">
      <c r="B323" s="28"/>
    </row>
    <row r="324">
      <c r="B324" s="28"/>
    </row>
    <row r="325">
      <c r="B325" s="28"/>
    </row>
    <row r="326">
      <c r="B326" s="28"/>
    </row>
    <row r="327">
      <c r="B327" s="28"/>
    </row>
    <row r="328">
      <c r="B328" s="28"/>
    </row>
    <row r="329">
      <c r="B329" s="28"/>
    </row>
    <row r="330">
      <c r="B330" s="28"/>
    </row>
    <row r="331">
      <c r="B331" s="28"/>
    </row>
    <row r="332">
      <c r="B332" s="28"/>
    </row>
    <row r="333">
      <c r="B333" s="28"/>
    </row>
    <row r="334">
      <c r="B334" s="28"/>
    </row>
    <row r="335">
      <c r="B335" s="28"/>
    </row>
    <row r="336">
      <c r="B336" s="28"/>
    </row>
    <row r="337">
      <c r="B337" s="28"/>
    </row>
    <row r="338">
      <c r="B338" s="28"/>
    </row>
    <row r="339">
      <c r="B339" s="28"/>
    </row>
    <row r="340">
      <c r="B340" s="28"/>
    </row>
    <row r="341">
      <c r="B341" s="28"/>
    </row>
    <row r="342">
      <c r="B342" s="28"/>
    </row>
    <row r="343">
      <c r="B343" s="28"/>
    </row>
    <row r="344">
      <c r="B344" s="28"/>
    </row>
    <row r="345">
      <c r="B345" s="28"/>
    </row>
    <row r="346">
      <c r="B346" s="28"/>
    </row>
    <row r="347">
      <c r="B347" s="28"/>
    </row>
    <row r="348">
      <c r="B348" s="28"/>
    </row>
    <row r="349">
      <c r="B349" s="28"/>
    </row>
    <row r="350">
      <c r="B350" s="28"/>
    </row>
    <row r="351">
      <c r="B351" s="28"/>
    </row>
    <row r="352">
      <c r="B352" s="28"/>
    </row>
    <row r="353">
      <c r="B353" s="28"/>
    </row>
    <row r="354">
      <c r="B354" s="28"/>
    </row>
    <row r="355">
      <c r="B355" s="28"/>
    </row>
    <row r="356">
      <c r="B356" s="28"/>
    </row>
    <row r="357">
      <c r="B357" s="28"/>
    </row>
    <row r="358">
      <c r="B358" s="28"/>
    </row>
    <row r="359">
      <c r="B359" s="28"/>
    </row>
    <row r="360">
      <c r="B360" s="28"/>
    </row>
    <row r="361">
      <c r="B361" s="28"/>
    </row>
    <row r="362">
      <c r="B362" s="28"/>
    </row>
    <row r="363"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  <row r="855">
      <c r="B855" s="28"/>
    </row>
    <row r="856">
      <c r="B856" s="28"/>
    </row>
    <row r="857">
      <c r="B857" s="28"/>
    </row>
    <row r="858">
      <c r="B858" s="28"/>
    </row>
    <row r="859">
      <c r="B859" s="28"/>
    </row>
    <row r="860">
      <c r="B860" s="28"/>
    </row>
    <row r="861">
      <c r="B861" s="28"/>
    </row>
    <row r="862">
      <c r="B862" s="28"/>
    </row>
    <row r="863">
      <c r="B863" s="28"/>
    </row>
    <row r="864">
      <c r="B864" s="28"/>
    </row>
    <row r="865">
      <c r="B865" s="28"/>
    </row>
    <row r="866">
      <c r="B866" s="28"/>
    </row>
    <row r="867">
      <c r="B867" s="28"/>
    </row>
    <row r="868">
      <c r="B868" s="28"/>
    </row>
    <row r="869">
      <c r="B869" s="28"/>
    </row>
    <row r="870">
      <c r="B870" s="28"/>
    </row>
    <row r="871">
      <c r="B871" s="28"/>
    </row>
    <row r="872">
      <c r="B872" s="28"/>
    </row>
    <row r="873">
      <c r="B873" s="28"/>
    </row>
    <row r="874">
      <c r="B874" s="28"/>
    </row>
    <row r="875">
      <c r="B875" s="28"/>
    </row>
    <row r="876">
      <c r="B876" s="28"/>
    </row>
    <row r="877">
      <c r="B877" s="28"/>
    </row>
    <row r="878">
      <c r="B878" s="28"/>
    </row>
    <row r="879">
      <c r="B879" s="28"/>
    </row>
    <row r="880">
      <c r="B880" s="28"/>
    </row>
    <row r="881">
      <c r="B881" s="28"/>
    </row>
    <row r="882">
      <c r="B882" s="28"/>
    </row>
    <row r="883">
      <c r="B883" s="28"/>
    </row>
    <row r="884">
      <c r="B884" s="28"/>
    </row>
    <row r="885">
      <c r="B885" s="28"/>
    </row>
    <row r="886">
      <c r="B886" s="28"/>
    </row>
    <row r="887">
      <c r="B887" s="28"/>
    </row>
    <row r="888">
      <c r="B888" s="28"/>
    </row>
    <row r="889">
      <c r="B889" s="28"/>
    </row>
    <row r="890">
      <c r="B890" s="28"/>
    </row>
    <row r="891">
      <c r="B891" s="28"/>
    </row>
    <row r="892">
      <c r="B892" s="28"/>
    </row>
    <row r="893">
      <c r="B893" s="28"/>
    </row>
    <row r="894">
      <c r="B894" s="28"/>
    </row>
    <row r="895">
      <c r="B895" s="28"/>
    </row>
    <row r="896">
      <c r="B896" s="28"/>
    </row>
    <row r="897">
      <c r="B897" s="28"/>
    </row>
    <row r="898">
      <c r="B898" s="28"/>
    </row>
    <row r="899">
      <c r="B899" s="28"/>
    </row>
    <row r="900">
      <c r="B900" s="28"/>
    </row>
    <row r="901">
      <c r="B901" s="28"/>
    </row>
    <row r="902">
      <c r="B902" s="28"/>
    </row>
    <row r="903">
      <c r="B903" s="28"/>
    </row>
    <row r="904">
      <c r="B904" s="28"/>
    </row>
    <row r="905">
      <c r="B905" s="28"/>
    </row>
    <row r="906">
      <c r="B906" s="28"/>
    </row>
    <row r="907">
      <c r="B907" s="28"/>
    </row>
    <row r="908">
      <c r="B908" s="28"/>
    </row>
    <row r="909">
      <c r="B909" s="28"/>
    </row>
    <row r="910">
      <c r="B910" s="28"/>
    </row>
    <row r="911">
      <c r="B911" s="28"/>
    </row>
    <row r="912">
      <c r="B912" s="28"/>
    </row>
    <row r="913">
      <c r="B913" s="28"/>
    </row>
    <row r="914">
      <c r="B914" s="28"/>
    </row>
    <row r="915">
      <c r="B915" s="28"/>
    </row>
    <row r="916">
      <c r="B916" s="28"/>
    </row>
    <row r="917">
      <c r="B917" s="28"/>
    </row>
    <row r="918">
      <c r="B918" s="28"/>
    </row>
    <row r="919">
      <c r="B919" s="28"/>
    </row>
    <row r="920">
      <c r="B920" s="28"/>
    </row>
    <row r="921">
      <c r="B921" s="28"/>
    </row>
    <row r="922">
      <c r="B922" s="28"/>
    </row>
    <row r="923">
      <c r="B923" s="28"/>
    </row>
    <row r="924">
      <c r="B924" s="28"/>
    </row>
    <row r="925">
      <c r="B925" s="28"/>
    </row>
    <row r="926">
      <c r="B926" s="28"/>
    </row>
    <row r="927">
      <c r="B927" s="28"/>
    </row>
    <row r="928">
      <c r="B928" s="28"/>
    </row>
    <row r="929">
      <c r="B929" s="28"/>
    </row>
    <row r="930">
      <c r="B930" s="28"/>
    </row>
    <row r="931">
      <c r="B931" s="28"/>
    </row>
    <row r="932">
      <c r="B932" s="28"/>
    </row>
    <row r="933">
      <c r="B933" s="28"/>
    </row>
    <row r="934">
      <c r="B934" s="28"/>
    </row>
    <row r="935">
      <c r="B935" s="28"/>
    </row>
    <row r="936">
      <c r="B936" s="28"/>
    </row>
    <row r="937">
      <c r="B937" s="28"/>
    </row>
    <row r="938">
      <c r="B938" s="28"/>
    </row>
    <row r="939">
      <c r="B939" s="28"/>
    </row>
    <row r="940">
      <c r="B940" s="28"/>
    </row>
    <row r="941">
      <c r="B941" s="28"/>
    </row>
    <row r="942">
      <c r="B942" s="28"/>
    </row>
    <row r="943">
      <c r="B943" s="28"/>
    </row>
    <row r="944">
      <c r="B944" s="28"/>
    </row>
    <row r="945">
      <c r="B945" s="28"/>
    </row>
    <row r="946">
      <c r="B946" s="28"/>
    </row>
    <row r="947">
      <c r="B947" s="28"/>
    </row>
    <row r="948">
      <c r="B948" s="28"/>
    </row>
    <row r="949">
      <c r="B949" s="28"/>
    </row>
    <row r="950">
      <c r="B950" s="28"/>
    </row>
    <row r="951">
      <c r="B951" s="28"/>
    </row>
    <row r="952">
      <c r="B952" s="28"/>
    </row>
    <row r="953">
      <c r="B953" s="28"/>
    </row>
    <row r="954">
      <c r="B954" s="28"/>
    </row>
    <row r="955">
      <c r="B955" s="28"/>
    </row>
    <row r="956">
      <c r="B956" s="28"/>
    </row>
    <row r="957">
      <c r="B957" s="28"/>
    </row>
    <row r="958">
      <c r="B958" s="28"/>
    </row>
    <row r="959">
      <c r="B959" s="28"/>
    </row>
    <row r="960">
      <c r="B960" s="28"/>
    </row>
    <row r="961">
      <c r="B961" s="28"/>
    </row>
    <row r="962">
      <c r="B962" s="28"/>
    </row>
    <row r="963">
      <c r="B963" s="28"/>
    </row>
    <row r="964">
      <c r="B964" s="28"/>
    </row>
    <row r="965">
      <c r="B965" s="28"/>
    </row>
    <row r="966">
      <c r="B966" s="28"/>
    </row>
    <row r="967">
      <c r="B967" s="28"/>
    </row>
    <row r="968">
      <c r="B968" s="28"/>
    </row>
    <row r="969">
      <c r="B969" s="28"/>
    </row>
    <row r="970">
      <c r="B970" s="28"/>
    </row>
    <row r="971">
      <c r="B971" s="28"/>
    </row>
    <row r="972">
      <c r="B972" s="28"/>
    </row>
    <row r="973">
      <c r="B973" s="28"/>
    </row>
    <row r="974">
      <c r="B974" s="28"/>
    </row>
    <row r="975">
      <c r="B975" s="28"/>
    </row>
    <row r="976">
      <c r="B976" s="28"/>
    </row>
    <row r="977">
      <c r="B977" s="28"/>
    </row>
    <row r="978">
      <c r="B978" s="28"/>
    </row>
    <row r="979">
      <c r="B979" s="28"/>
    </row>
    <row r="980">
      <c r="B980" s="28"/>
    </row>
    <row r="981">
      <c r="B981" s="28"/>
    </row>
    <row r="982">
      <c r="B982" s="28"/>
    </row>
    <row r="983">
      <c r="B983" s="28"/>
    </row>
    <row r="984">
      <c r="B984" s="28"/>
    </row>
    <row r="985">
      <c r="B985" s="28"/>
    </row>
    <row r="986">
      <c r="B986" s="28"/>
    </row>
    <row r="987">
      <c r="B987" s="28"/>
    </row>
    <row r="988">
      <c r="B988" s="28"/>
    </row>
    <row r="989">
      <c r="B989" s="28"/>
    </row>
    <row r="990">
      <c r="B990" s="28"/>
    </row>
    <row r="991">
      <c r="B991" s="28"/>
    </row>
    <row r="992">
      <c r="B992" s="28"/>
    </row>
    <row r="993">
      <c r="B993" s="28"/>
    </row>
    <row r="994">
      <c r="B994" s="28"/>
    </row>
    <row r="995">
      <c r="B995" s="28"/>
    </row>
    <row r="996">
      <c r="B996" s="28"/>
    </row>
    <row r="997">
      <c r="B997" s="28"/>
    </row>
    <row r="998">
      <c r="B998" s="28"/>
    </row>
    <row r="999">
      <c r="B999" s="28"/>
    </row>
    <row r="1000">
      <c r="B1000" s="28"/>
    </row>
    <row r="1001">
      <c r="B1001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7.13"/>
  </cols>
  <sheetData>
    <row r="1">
      <c r="A1" s="20" t="s">
        <v>64</v>
      </c>
      <c r="B1" s="20"/>
      <c r="C1" s="20"/>
      <c r="D1" s="2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0" t="s">
        <v>65</v>
      </c>
      <c r="B2" s="20"/>
      <c r="C2" s="20"/>
      <c r="D2" s="20"/>
    </row>
    <row r="3">
      <c r="A3" s="20" t="s">
        <v>66</v>
      </c>
      <c r="B3" s="20"/>
      <c r="C3" s="20"/>
      <c r="D3" s="20"/>
    </row>
    <row r="4">
      <c r="A4" s="20" t="s">
        <v>67</v>
      </c>
      <c r="B4" s="20"/>
      <c r="C4" s="20"/>
      <c r="D4" s="20"/>
    </row>
    <row r="5">
      <c r="A5" s="20" t="s">
        <v>68</v>
      </c>
      <c r="B5" s="20"/>
      <c r="C5" s="20"/>
      <c r="D5" s="20"/>
    </row>
    <row r="6">
      <c r="A6" s="20" t="s">
        <v>69</v>
      </c>
      <c r="B6" s="20"/>
      <c r="C6" s="20"/>
      <c r="D6" s="20"/>
    </row>
    <row r="7">
      <c r="A7" s="20"/>
      <c r="B7" s="20"/>
      <c r="C7" s="20"/>
      <c r="D7" s="20"/>
    </row>
    <row r="8">
      <c r="A8" s="20"/>
      <c r="B8" s="20"/>
      <c r="C8" s="20"/>
      <c r="D8" s="20"/>
    </row>
    <row r="9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>
      <c r="A10" s="21" t="s">
        <v>62</v>
      </c>
      <c r="B10" s="21" t="s">
        <v>63</v>
      </c>
      <c r="C10" s="22" t="s">
        <v>11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>
      <c r="A11" s="24">
        <v>45944.0</v>
      </c>
      <c r="B11" s="25" t="str">
        <f>sumValid($A11:$A24, 'SCRUM Board'!$A$6, "Story ID", "Valid from", "Estimate")</f>
        <v>#NAME?</v>
      </c>
      <c r="C11" s="25" t="str">
        <f>sumValid($A11:$A24, 'SCRUM Board'!$A$6:$G$21, "Story ID", "Valid from", "Work done")</f>
        <v>#NAME?</v>
      </c>
    </row>
    <row r="12">
      <c r="A12" s="24">
        <v>45945.0</v>
      </c>
      <c r="B12" s="25"/>
      <c r="C12" s="25"/>
    </row>
    <row r="13">
      <c r="A13" s="24">
        <v>45946.0</v>
      </c>
      <c r="B13" s="25"/>
      <c r="C13" s="25"/>
    </row>
    <row r="14">
      <c r="A14" s="24">
        <v>45947.0</v>
      </c>
      <c r="B14" s="25"/>
      <c r="C14" s="25"/>
    </row>
    <row r="15">
      <c r="A15" s="24">
        <v>45948.0</v>
      </c>
      <c r="B15" s="25"/>
      <c r="C15" s="25"/>
    </row>
    <row r="16">
      <c r="A16" s="24">
        <v>45949.0</v>
      </c>
      <c r="B16" s="25"/>
      <c r="C16" s="25"/>
    </row>
    <row r="17">
      <c r="A17" s="24">
        <v>45950.0</v>
      </c>
      <c r="B17" s="25"/>
      <c r="C17" s="25"/>
    </row>
    <row r="18">
      <c r="A18" s="24">
        <v>45951.0</v>
      </c>
      <c r="B18" s="25"/>
      <c r="C18" s="25"/>
    </row>
    <row r="19">
      <c r="A19" s="24">
        <v>45952.0</v>
      </c>
      <c r="B19" s="25"/>
      <c r="C19" s="25"/>
    </row>
    <row r="20">
      <c r="A20" s="24">
        <v>45953.0</v>
      </c>
      <c r="B20" s="25"/>
      <c r="C20" s="25"/>
    </row>
    <row r="21">
      <c r="A21" s="24">
        <v>45954.0</v>
      </c>
      <c r="B21" s="25"/>
      <c r="C21" s="25"/>
    </row>
    <row r="22">
      <c r="A22" s="24">
        <v>45955.0</v>
      </c>
      <c r="B22" s="25"/>
      <c r="C22" s="25"/>
    </row>
    <row r="23">
      <c r="A23" s="24">
        <v>45956.0</v>
      </c>
      <c r="B23" s="25"/>
      <c r="C23" s="25"/>
    </row>
    <row r="24">
      <c r="A24" s="24">
        <v>45957.0</v>
      </c>
      <c r="B24" s="25"/>
      <c r="C24" s="25"/>
    </row>
    <row r="25">
      <c r="A25" s="26"/>
      <c r="B25" s="27"/>
    </row>
    <row r="26">
      <c r="A26" s="26"/>
      <c r="B26" s="27"/>
    </row>
    <row r="42">
      <c r="A42" s="26"/>
      <c r="B42" s="27"/>
    </row>
    <row r="43">
      <c r="A43" s="26"/>
      <c r="B43" s="27"/>
    </row>
    <row r="44">
      <c r="A44" s="26"/>
      <c r="B44" s="27"/>
    </row>
    <row r="45">
      <c r="A45" s="26"/>
      <c r="B45" s="27"/>
    </row>
    <row r="46">
      <c r="A46" s="26"/>
      <c r="B46" s="27"/>
    </row>
    <row r="47">
      <c r="A47" s="26"/>
      <c r="B47" s="27"/>
    </row>
    <row r="48">
      <c r="A48" s="26"/>
      <c r="B48" s="27"/>
    </row>
    <row r="49">
      <c r="A49" s="26"/>
      <c r="B49" s="27"/>
    </row>
    <row r="50">
      <c r="A50" s="26"/>
      <c r="B50" s="27"/>
    </row>
    <row r="51">
      <c r="B51" s="28"/>
    </row>
    <row r="52">
      <c r="B52" s="28"/>
    </row>
    <row r="53">
      <c r="B53" s="28"/>
    </row>
    <row r="54">
      <c r="B54" s="28"/>
    </row>
    <row r="55">
      <c r="B55" s="28"/>
    </row>
    <row r="56">
      <c r="B56" s="28"/>
    </row>
    <row r="57">
      <c r="B57" s="28"/>
    </row>
    <row r="58">
      <c r="B58" s="28"/>
    </row>
    <row r="59">
      <c r="B59" s="28"/>
    </row>
    <row r="60">
      <c r="B60" s="28"/>
    </row>
    <row r="61">
      <c r="B61" s="28"/>
    </row>
    <row r="62">
      <c r="B62" s="28"/>
    </row>
    <row r="63">
      <c r="B63" s="28"/>
    </row>
    <row r="64">
      <c r="B64" s="28"/>
    </row>
    <row r="65">
      <c r="B65" s="28"/>
    </row>
    <row r="66">
      <c r="B66" s="28"/>
    </row>
    <row r="67">
      <c r="B67" s="28"/>
    </row>
    <row r="68">
      <c r="B68" s="28"/>
    </row>
    <row r="69">
      <c r="B69" s="28"/>
    </row>
    <row r="70">
      <c r="B70" s="28"/>
    </row>
    <row r="71">
      <c r="B71" s="28"/>
    </row>
    <row r="72">
      <c r="B72" s="28"/>
    </row>
    <row r="73">
      <c r="B73" s="28"/>
    </row>
    <row r="74">
      <c r="B74" s="28"/>
    </row>
    <row r="75">
      <c r="B75" s="28"/>
    </row>
    <row r="76">
      <c r="B76" s="28"/>
    </row>
    <row r="77">
      <c r="B77" s="28"/>
    </row>
    <row r="78">
      <c r="B78" s="28"/>
    </row>
    <row r="79">
      <c r="B79" s="28"/>
    </row>
    <row r="80">
      <c r="B80" s="28"/>
    </row>
    <row r="81">
      <c r="B81" s="28"/>
    </row>
    <row r="82">
      <c r="B82" s="28"/>
    </row>
    <row r="83">
      <c r="B83" s="28"/>
    </row>
    <row r="84">
      <c r="B84" s="28"/>
    </row>
    <row r="85">
      <c r="B85" s="28"/>
    </row>
    <row r="86">
      <c r="B86" s="28"/>
    </row>
    <row r="87">
      <c r="B87" s="28"/>
    </row>
    <row r="88">
      <c r="B88" s="28"/>
    </row>
    <row r="89">
      <c r="B89" s="28"/>
    </row>
    <row r="90">
      <c r="B90" s="28"/>
    </row>
    <row r="91">
      <c r="B91" s="28"/>
    </row>
    <row r="92">
      <c r="B92" s="28"/>
    </row>
    <row r="93">
      <c r="B93" s="28"/>
    </row>
    <row r="94">
      <c r="B94" s="28"/>
    </row>
    <row r="95">
      <c r="B95" s="28"/>
    </row>
    <row r="96">
      <c r="B96" s="28"/>
    </row>
    <row r="97">
      <c r="B97" s="28"/>
    </row>
    <row r="98">
      <c r="B98" s="28"/>
    </row>
    <row r="99">
      <c r="B99" s="28"/>
    </row>
    <row r="100">
      <c r="B100" s="28"/>
    </row>
    <row r="101">
      <c r="B101" s="28"/>
    </row>
    <row r="102">
      <c r="B102" s="28"/>
    </row>
    <row r="103">
      <c r="B103" s="28"/>
    </row>
    <row r="104">
      <c r="B104" s="28"/>
    </row>
    <row r="105">
      <c r="B105" s="28"/>
    </row>
    <row r="106">
      <c r="B106" s="28"/>
    </row>
    <row r="107">
      <c r="B107" s="28"/>
    </row>
    <row r="108">
      <c r="B108" s="28"/>
    </row>
    <row r="109">
      <c r="B109" s="28"/>
    </row>
    <row r="110">
      <c r="B110" s="28"/>
    </row>
    <row r="111">
      <c r="B111" s="28"/>
    </row>
    <row r="112">
      <c r="B112" s="28"/>
    </row>
    <row r="113">
      <c r="B113" s="28"/>
    </row>
    <row r="114">
      <c r="B114" s="28"/>
    </row>
    <row r="115">
      <c r="B115" s="28"/>
    </row>
    <row r="116">
      <c r="B116" s="28"/>
    </row>
    <row r="117">
      <c r="B117" s="28"/>
    </row>
    <row r="118">
      <c r="B118" s="28"/>
    </row>
    <row r="119">
      <c r="B119" s="28"/>
    </row>
    <row r="120">
      <c r="B120" s="28"/>
    </row>
    <row r="121">
      <c r="B121" s="28"/>
    </row>
    <row r="122">
      <c r="B122" s="28"/>
    </row>
    <row r="123">
      <c r="B123" s="28"/>
    </row>
    <row r="124">
      <c r="B124" s="28"/>
    </row>
    <row r="125">
      <c r="B125" s="28"/>
    </row>
    <row r="126">
      <c r="B126" s="28"/>
    </row>
    <row r="127">
      <c r="B127" s="28"/>
    </row>
    <row r="128">
      <c r="B128" s="28"/>
    </row>
    <row r="129">
      <c r="B129" s="28"/>
    </row>
    <row r="130">
      <c r="B130" s="28"/>
    </row>
    <row r="131">
      <c r="B131" s="28"/>
    </row>
    <row r="132">
      <c r="B132" s="28"/>
    </row>
    <row r="133">
      <c r="B133" s="28"/>
    </row>
    <row r="134">
      <c r="B134" s="28"/>
    </row>
    <row r="135">
      <c r="B135" s="28"/>
    </row>
    <row r="136">
      <c r="B136" s="28"/>
    </row>
    <row r="137">
      <c r="B137" s="28"/>
    </row>
    <row r="138">
      <c r="B138" s="28"/>
    </row>
    <row r="139">
      <c r="B139" s="28"/>
    </row>
    <row r="140">
      <c r="B140" s="28"/>
    </row>
    <row r="141">
      <c r="B141" s="28"/>
    </row>
    <row r="142">
      <c r="B142" s="28"/>
    </row>
    <row r="143">
      <c r="B143" s="28"/>
    </row>
    <row r="144">
      <c r="B144" s="28"/>
    </row>
    <row r="145">
      <c r="B145" s="28"/>
    </row>
    <row r="146">
      <c r="B146" s="28"/>
    </row>
    <row r="147">
      <c r="B147" s="28"/>
    </row>
    <row r="148">
      <c r="B148" s="28"/>
    </row>
    <row r="149">
      <c r="B149" s="28"/>
    </row>
    <row r="150">
      <c r="B150" s="28"/>
    </row>
    <row r="151">
      <c r="B151" s="28"/>
    </row>
    <row r="152">
      <c r="B152" s="28"/>
    </row>
    <row r="153">
      <c r="B153" s="28"/>
    </row>
    <row r="154">
      <c r="B154" s="28"/>
    </row>
    <row r="155">
      <c r="B155" s="28"/>
    </row>
    <row r="156">
      <c r="B156" s="28"/>
    </row>
    <row r="157">
      <c r="B157" s="28"/>
    </row>
    <row r="158">
      <c r="B158" s="28"/>
    </row>
    <row r="159">
      <c r="B159" s="28"/>
    </row>
    <row r="160">
      <c r="B160" s="28"/>
    </row>
    <row r="161">
      <c r="B161" s="28"/>
    </row>
    <row r="162">
      <c r="B162" s="28"/>
    </row>
    <row r="163">
      <c r="B163" s="28"/>
    </row>
    <row r="164">
      <c r="B164" s="28"/>
    </row>
    <row r="165">
      <c r="B165" s="28"/>
    </row>
    <row r="166">
      <c r="B166" s="28"/>
    </row>
    <row r="167">
      <c r="B167" s="28"/>
    </row>
    <row r="168">
      <c r="B168" s="28"/>
    </row>
    <row r="169">
      <c r="B169" s="28"/>
    </row>
    <row r="170">
      <c r="B170" s="28"/>
    </row>
    <row r="171">
      <c r="B171" s="28"/>
    </row>
    <row r="172">
      <c r="B172" s="28"/>
    </row>
    <row r="173">
      <c r="B173" s="28"/>
    </row>
    <row r="174">
      <c r="B174" s="28"/>
    </row>
    <row r="175">
      <c r="B175" s="28"/>
    </row>
    <row r="176">
      <c r="B176" s="28"/>
    </row>
    <row r="177">
      <c r="B177" s="28"/>
    </row>
    <row r="178">
      <c r="B178" s="28"/>
    </row>
    <row r="179">
      <c r="B179" s="28"/>
    </row>
    <row r="180">
      <c r="B180" s="28"/>
    </row>
    <row r="181">
      <c r="B181" s="28"/>
    </row>
    <row r="182">
      <c r="B182" s="28"/>
    </row>
    <row r="183">
      <c r="B183" s="28"/>
    </row>
    <row r="184">
      <c r="B184" s="28"/>
    </row>
    <row r="185">
      <c r="B185" s="28"/>
    </row>
    <row r="186">
      <c r="B186" s="28"/>
    </row>
    <row r="187">
      <c r="B187" s="28"/>
    </row>
    <row r="188">
      <c r="B188" s="28"/>
    </row>
    <row r="189">
      <c r="B189" s="28"/>
    </row>
    <row r="190">
      <c r="B190" s="28"/>
    </row>
    <row r="191">
      <c r="B191" s="28"/>
    </row>
    <row r="192">
      <c r="B192" s="28"/>
    </row>
    <row r="193">
      <c r="B193" s="28"/>
    </row>
    <row r="194">
      <c r="B194" s="28"/>
    </row>
    <row r="195">
      <c r="B195" s="28"/>
    </row>
    <row r="196">
      <c r="B196" s="28"/>
    </row>
    <row r="197">
      <c r="B197" s="28"/>
    </row>
    <row r="198">
      <c r="B198" s="28"/>
    </row>
    <row r="199">
      <c r="B199" s="28"/>
    </row>
    <row r="200">
      <c r="B200" s="28"/>
    </row>
    <row r="201">
      <c r="B201" s="28"/>
    </row>
    <row r="202">
      <c r="B202" s="28"/>
    </row>
    <row r="203">
      <c r="B203" s="28"/>
    </row>
    <row r="204">
      <c r="B204" s="28"/>
    </row>
    <row r="205">
      <c r="B205" s="28"/>
    </row>
    <row r="206">
      <c r="B206" s="28"/>
    </row>
    <row r="207">
      <c r="B207" s="28"/>
    </row>
    <row r="208">
      <c r="B208" s="28"/>
    </row>
    <row r="209">
      <c r="B209" s="28"/>
    </row>
    <row r="210">
      <c r="B210" s="28"/>
    </row>
    <row r="211">
      <c r="B211" s="28"/>
    </row>
    <row r="212">
      <c r="B212" s="28"/>
    </row>
    <row r="213">
      <c r="B213" s="28"/>
    </row>
    <row r="214">
      <c r="B214" s="28"/>
    </row>
    <row r="215">
      <c r="B215" s="28"/>
    </row>
    <row r="216">
      <c r="B216" s="28"/>
    </row>
    <row r="217">
      <c r="B217" s="28"/>
    </row>
    <row r="218">
      <c r="B218" s="28"/>
    </row>
    <row r="219">
      <c r="B219" s="28"/>
    </row>
    <row r="220">
      <c r="B220" s="28"/>
    </row>
    <row r="221">
      <c r="B221" s="28"/>
    </row>
    <row r="222">
      <c r="B222" s="28"/>
    </row>
    <row r="223">
      <c r="B223" s="28"/>
    </row>
    <row r="224">
      <c r="B224" s="28"/>
    </row>
    <row r="225">
      <c r="B225" s="28"/>
    </row>
    <row r="226">
      <c r="B226" s="28"/>
    </row>
    <row r="227">
      <c r="B227" s="28"/>
    </row>
    <row r="228">
      <c r="B228" s="28"/>
    </row>
    <row r="229">
      <c r="B229" s="28"/>
    </row>
    <row r="230">
      <c r="B230" s="28"/>
    </row>
    <row r="231">
      <c r="B231" s="28"/>
    </row>
    <row r="232">
      <c r="B232" s="28"/>
    </row>
    <row r="233">
      <c r="B233" s="28"/>
    </row>
    <row r="234">
      <c r="B234" s="28"/>
    </row>
    <row r="235">
      <c r="B235" s="28"/>
    </row>
    <row r="236">
      <c r="B236" s="28"/>
    </row>
    <row r="237">
      <c r="B237" s="28"/>
    </row>
    <row r="238">
      <c r="B238" s="28"/>
    </row>
    <row r="239">
      <c r="B239" s="28"/>
    </row>
    <row r="240">
      <c r="B240" s="28"/>
    </row>
    <row r="241">
      <c r="B241" s="28"/>
    </row>
    <row r="242">
      <c r="B242" s="28"/>
    </row>
    <row r="243">
      <c r="B243" s="28"/>
    </row>
    <row r="244">
      <c r="B244" s="28"/>
    </row>
    <row r="245">
      <c r="B245" s="28"/>
    </row>
    <row r="246">
      <c r="B246" s="28"/>
    </row>
    <row r="247">
      <c r="B247" s="28"/>
    </row>
    <row r="248">
      <c r="B248" s="28"/>
    </row>
    <row r="249">
      <c r="B249" s="28"/>
    </row>
    <row r="250">
      <c r="B250" s="28"/>
    </row>
    <row r="251">
      <c r="B251" s="28"/>
    </row>
    <row r="252">
      <c r="B252" s="28"/>
    </row>
    <row r="253">
      <c r="B253" s="28"/>
    </row>
    <row r="254">
      <c r="B254" s="28"/>
    </row>
    <row r="255">
      <c r="B255" s="28"/>
    </row>
    <row r="256">
      <c r="B256" s="28"/>
    </row>
    <row r="257">
      <c r="B257" s="28"/>
    </row>
    <row r="258">
      <c r="B258" s="28"/>
    </row>
    <row r="259">
      <c r="B259" s="28"/>
    </row>
    <row r="260">
      <c r="B260" s="28"/>
    </row>
    <row r="261">
      <c r="B261" s="28"/>
    </row>
    <row r="262">
      <c r="B262" s="28"/>
    </row>
    <row r="263">
      <c r="B263" s="28"/>
    </row>
    <row r="264">
      <c r="B264" s="28"/>
    </row>
    <row r="265">
      <c r="B265" s="28"/>
    </row>
    <row r="266">
      <c r="B266" s="28"/>
    </row>
    <row r="267">
      <c r="B267" s="28"/>
    </row>
    <row r="268">
      <c r="B268" s="28"/>
    </row>
    <row r="269">
      <c r="B269" s="28"/>
    </row>
    <row r="270">
      <c r="B270" s="28"/>
    </row>
    <row r="271">
      <c r="B271" s="28"/>
    </row>
    <row r="272">
      <c r="B272" s="28"/>
    </row>
    <row r="273">
      <c r="B273" s="28"/>
    </row>
    <row r="274">
      <c r="B274" s="28"/>
    </row>
    <row r="275">
      <c r="B275" s="28"/>
    </row>
    <row r="276">
      <c r="B276" s="28"/>
    </row>
    <row r="277">
      <c r="B277" s="28"/>
    </row>
    <row r="278">
      <c r="B278" s="28"/>
    </row>
    <row r="279">
      <c r="B279" s="28"/>
    </row>
    <row r="280">
      <c r="B280" s="28"/>
    </row>
    <row r="281">
      <c r="B281" s="28"/>
    </row>
    <row r="282">
      <c r="B282" s="28"/>
    </row>
    <row r="283">
      <c r="B283" s="28"/>
    </row>
    <row r="284">
      <c r="B284" s="28"/>
    </row>
    <row r="285">
      <c r="B285" s="28"/>
    </row>
    <row r="286">
      <c r="B286" s="28"/>
    </row>
    <row r="287">
      <c r="B287" s="28"/>
    </row>
    <row r="288">
      <c r="B288" s="28"/>
    </row>
    <row r="289">
      <c r="B289" s="28"/>
    </row>
    <row r="290">
      <c r="B290" s="28"/>
    </row>
    <row r="291">
      <c r="B291" s="28"/>
    </row>
    <row r="292">
      <c r="B292" s="28"/>
    </row>
    <row r="293">
      <c r="B293" s="28"/>
    </row>
    <row r="294">
      <c r="B294" s="28"/>
    </row>
    <row r="295">
      <c r="B295" s="28"/>
    </row>
    <row r="296">
      <c r="B296" s="28"/>
    </row>
    <row r="297">
      <c r="B297" s="28"/>
    </row>
    <row r="298">
      <c r="B298" s="28"/>
    </row>
    <row r="299">
      <c r="B299" s="28"/>
    </row>
    <row r="300">
      <c r="B300" s="28"/>
    </row>
    <row r="301">
      <c r="B301" s="28"/>
    </row>
    <row r="302">
      <c r="B302" s="28"/>
    </row>
    <row r="303">
      <c r="B303" s="28"/>
    </row>
    <row r="304">
      <c r="B304" s="28"/>
    </row>
    <row r="305">
      <c r="B305" s="28"/>
    </row>
    <row r="306">
      <c r="B306" s="28"/>
    </row>
    <row r="307">
      <c r="B307" s="28"/>
    </row>
    <row r="308">
      <c r="B308" s="28"/>
    </row>
    <row r="309">
      <c r="B309" s="28"/>
    </row>
    <row r="310">
      <c r="B310" s="28"/>
    </row>
    <row r="311">
      <c r="B311" s="28"/>
    </row>
    <row r="312">
      <c r="B312" s="28"/>
    </row>
    <row r="313">
      <c r="B313" s="28"/>
    </row>
    <row r="314">
      <c r="B314" s="28"/>
    </row>
    <row r="315">
      <c r="B315" s="28"/>
    </row>
    <row r="316">
      <c r="B316" s="28"/>
    </row>
    <row r="317">
      <c r="B317" s="28"/>
    </row>
    <row r="318">
      <c r="B318" s="28"/>
    </row>
    <row r="319">
      <c r="B319" s="28"/>
    </row>
    <row r="320">
      <c r="B320" s="28"/>
    </row>
    <row r="321">
      <c r="B321" s="28"/>
    </row>
    <row r="322">
      <c r="B322" s="28"/>
    </row>
    <row r="323">
      <c r="B323" s="28"/>
    </row>
    <row r="324">
      <c r="B324" s="28"/>
    </row>
    <row r="325">
      <c r="B325" s="28"/>
    </row>
    <row r="326">
      <c r="B326" s="28"/>
    </row>
    <row r="327">
      <c r="B327" s="28"/>
    </row>
    <row r="328">
      <c r="B328" s="28"/>
    </row>
    <row r="329">
      <c r="B329" s="28"/>
    </row>
    <row r="330">
      <c r="B330" s="28"/>
    </row>
    <row r="331">
      <c r="B331" s="28"/>
    </row>
    <row r="332">
      <c r="B332" s="28"/>
    </row>
    <row r="333">
      <c r="B333" s="28"/>
    </row>
    <row r="334">
      <c r="B334" s="28"/>
    </row>
    <row r="335">
      <c r="B335" s="28"/>
    </row>
    <row r="336">
      <c r="B336" s="28"/>
    </row>
    <row r="337">
      <c r="B337" s="28"/>
    </row>
    <row r="338">
      <c r="B338" s="28"/>
    </row>
    <row r="339">
      <c r="B339" s="28"/>
    </row>
    <row r="340">
      <c r="B340" s="28"/>
    </row>
    <row r="341">
      <c r="B341" s="28"/>
    </row>
    <row r="342">
      <c r="B342" s="28"/>
    </row>
    <row r="343">
      <c r="B343" s="28"/>
    </row>
    <row r="344">
      <c r="B344" s="28"/>
    </row>
    <row r="345">
      <c r="B345" s="28"/>
    </row>
    <row r="346">
      <c r="B346" s="28"/>
    </row>
    <row r="347">
      <c r="B347" s="28"/>
    </row>
    <row r="348">
      <c r="B348" s="28"/>
    </row>
    <row r="349">
      <c r="B349" s="28"/>
    </row>
    <row r="350">
      <c r="B350" s="28"/>
    </row>
    <row r="351">
      <c r="B351" s="28"/>
    </row>
    <row r="352">
      <c r="B352" s="28"/>
    </row>
    <row r="353">
      <c r="B353" s="28"/>
    </row>
    <row r="354">
      <c r="B354" s="28"/>
    </row>
    <row r="355">
      <c r="B355" s="28"/>
    </row>
    <row r="356">
      <c r="B356" s="28"/>
    </row>
    <row r="357">
      <c r="B357" s="28"/>
    </row>
    <row r="358">
      <c r="B358" s="28"/>
    </row>
    <row r="359">
      <c r="B359" s="28"/>
    </row>
    <row r="360">
      <c r="B360" s="28"/>
    </row>
    <row r="361">
      <c r="B361" s="28"/>
    </row>
    <row r="362">
      <c r="B362" s="28"/>
    </row>
    <row r="363"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  <row r="855">
      <c r="B855" s="28"/>
    </row>
    <row r="856">
      <c r="B856" s="28"/>
    </row>
    <row r="857">
      <c r="B857" s="28"/>
    </row>
    <row r="858">
      <c r="B858" s="28"/>
    </row>
    <row r="859">
      <c r="B859" s="28"/>
    </row>
    <row r="860">
      <c r="B860" s="28"/>
    </row>
    <row r="861">
      <c r="B861" s="28"/>
    </row>
    <row r="862">
      <c r="B862" s="28"/>
    </row>
    <row r="863">
      <c r="B863" s="28"/>
    </row>
    <row r="864">
      <c r="B864" s="28"/>
    </row>
    <row r="865">
      <c r="B865" s="28"/>
    </row>
    <row r="866">
      <c r="B866" s="28"/>
    </row>
    <row r="867">
      <c r="B867" s="28"/>
    </row>
    <row r="868">
      <c r="B868" s="28"/>
    </row>
    <row r="869">
      <c r="B869" s="28"/>
    </row>
    <row r="870">
      <c r="B870" s="28"/>
    </row>
    <row r="871">
      <c r="B871" s="28"/>
    </row>
    <row r="872">
      <c r="B872" s="28"/>
    </row>
    <row r="873">
      <c r="B873" s="28"/>
    </row>
    <row r="874">
      <c r="B874" s="28"/>
    </row>
    <row r="875">
      <c r="B875" s="28"/>
    </row>
    <row r="876">
      <c r="B876" s="28"/>
    </row>
    <row r="877">
      <c r="B877" s="28"/>
    </row>
    <row r="878">
      <c r="B878" s="28"/>
    </row>
    <row r="879">
      <c r="B879" s="28"/>
    </row>
    <row r="880">
      <c r="B880" s="28"/>
    </row>
    <row r="881">
      <c r="B881" s="28"/>
    </row>
    <row r="882">
      <c r="B882" s="28"/>
    </row>
    <row r="883">
      <c r="B883" s="28"/>
    </row>
    <row r="884">
      <c r="B884" s="28"/>
    </row>
    <row r="885">
      <c r="B885" s="28"/>
    </row>
    <row r="886">
      <c r="B886" s="28"/>
    </row>
    <row r="887">
      <c r="B887" s="28"/>
    </row>
    <row r="888">
      <c r="B888" s="28"/>
    </row>
    <row r="889">
      <c r="B889" s="28"/>
    </row>
    <row r="890">
      <c r="B890" s="28"/>
    </row>
    <row r="891">
      <c r="B891" s="28"/>
    </row>
    <row r="892">
      <c r="B892" s="28"/>
    </row>
    <row r="893">
      <c r="B893" s="28"/>
    </row>
    <row r="894">
      <c r="B894" s="28"/>
    </row>
    <row r="895">
      <c r="B895" s="28"/>
    </row>
    <row r="896">
      <c r="B896" s="28"/>
    </row>
    <row r="897">
      <c r="B897" s="28"/>
    </row>
    <row r="898">
      <c r="B898" s="28"/>
    </row>
    <row r="899">
      <c r="B899" s="28"/>
    </row>
    <row r="900">
      <c r="B900" s="28"/>
    </row>
    <row r="901">
      <c r="B901" s="28"/>
    </row>
    <row r="902">
      <c r="B902" s="28"/>
    </row>
    <row r="903">
      <c r="B903" s="28"/>
    </row>
    <row r="904">
      <c r="B904" s="28"/>
    </row>
    <row r="905">
      <c r="B905" s="28"/>
    </row>
    <row r="906">
      <c r="B906" s="28"/>
    </row>
    <row r="907">
      <c r="B907" s="28"/>
    </row>
    <row r="908">
      <c r="B908" s="28"/>
    </row>
    <row r="909">
      <c r="B909" s="28"/>
    </row>
    <row r="910">
      <c r="B910" s="28"/>
    </row>
    <row r="911">
      <c r="B911" s="28"/>
    </row>
    <row r="912">
      <c r="B912" s="28"/>
    </row>
    <row r="913">
      <c r="B913" s="28"/>
    </row>
    <row r="914">
      <c r="B914" s="28"/>
    </row>
    <row r="915">
      <c r="B915" s="28"/>
    </row>
    <row r="916">
      <c r="B916" s="28"/>
    </row>
    <row r="917">
      <c r="B917" s="28"/>
    </row>
    <row r="918">
      <c r="B918" s="28"/>
    </row>
    <row r="919">
      <c r="B919" s="28"/>
    </row>
    <row r="920">
      <c r="B920" s="28"/>
    </row>
    <row r="921">
      <c r="B921" s="28"/>
    </row>
    <row r="922">
      <c r="B922" s="28"/>
    </row>
    <row r="923">
      <c r="B923" s="28"/>
    </row>
    <row r="924">
      <c r="B924" s="28"/>
    </row>
    <row r="925">
      <c r="B925" s="28"/>
    </row>
    <row r="926">
      <c r="B926" s="28"/>
    </row>
    <row r="927">
      <c r="B927" s="28"/>
    </row>
    <row r="928">
      <c r="B928" s="28"/>
    </row>
    <row r="929">
      <c r="B929" s="28"/>
    </row>
    <row r="930">
      <c r="B930" s="28"/>
    </row>
    <row r="931">
      <c r="B931" s="28"/>
    </row>
    <row r="932">
      <c r="B932" s="28"/>
    </row>
    <row r="933">
      <c r="B933" s="28"/>
    </row>
    <row r="934">
      <c r="B934" s="28"/>
    </row>
    <row r="935">
      <c r="B935" s="28"/>
    </row>
    <row r="936">
      <c r="B936" s="28"/>
    </row>
    <row r="937">
      <c r="B937" s="28"/>
    </row>
    <row r="938">
      <c r="B938" s="28"/>
    </row>
    <row r="939">
      <c r="B939" s="28"/>
    </row>
    <row r="940">
      <c r="B940" s="28"/>
    </row>
    <row r="941">
      <c r="B941" s="28"/>
    </row>
    <row r="942">
      <c r="B942" s="28"/>
    </row>
    <row r="943">
      <c r="B943" s="28"/>
    </row>
    <row r="944">
      <c r="B944" s="28"/>
    </row>
    <row r="945">
      <c r="B945" s="28"/>
    </row>
    <row r="946">
      <c r="B946" s="28"/>
    </row>
    <row r="947">
      <c r="B947" s="28"/>
    </row>
    <row r="948">
      <c r="B948" s="28"/>
    </row>
    <row r="949">
      <c r="B949" s="28"/>
    </row>
    <row r="950">
      <c r="B950" s="28"/>
    </row>
    <row r="951">
      <c r="B951" s="28"/>
    </row>
    <row r="952">
      <c r="B952" s="28"/>
    </row>
    <row r="953">
      <c r="B953" s="28"/>
    </row>
    <row r="954">
      <c r="B954" s="28"/>
    </row>
    <row r="955">
      <c r="B955" s="28"/>
    </row>
    <row r="956">
      <c r="B956" s="28"/>
    </row>
    <row r="957">
      <c r="B957" s="28"/>
    </row>
    <row r="958">
      <c r="B958" s="28"/>
    </row>
    <row r="959">
      <c r="B959" s="28"/>
    </row>
    <row r="960">
      <c r="B960" s="28"/>
    </row>
    <row r="961">
      <c r="B961" s="28"/>
    </row>
    <row r="962">
      <c r="B962" s="28"/>
    </row>
    <row r="963">
      <c r="B963" s="28"/>
    </row>
    <row r="964">
      <c r="B964" s="28"/>
    </row>
    <row r="965">
      <c r="B965" s="28"/>
    </row>
    <row r="966">
      <c r="B966" s="28"/>
    </row>
    <row r="967">
      <c r="B967" s="28"/>
    </row>
    <row r="968">
      <c r="B968" s="28"/>
    </row>
    <row r="969">
      <c r="B969" s="28"/>
    </row>
    <row r="970">
      <c r="B970" s="28"/>
    </row>
    <row r="971">
      <c r="B971" s="28"/>
    </row>
    <row r="972">
      <c r="B972" s="28"/>
    </row>
    <row r="973">
      <c r="B973" s="28"/>
    </row>
    <row r="974">
      <c r="B974" s="28"/>
    </row>
    <row r="975">
      <c r="B975" s="28"/>
    </row>
    <row r="976">
      <c r="B976" s="28"/>
    </row>
    <row r="977">
      <c r="B977" s="28"/>
    </row>
    <row r="978">
      <c r="B978" s="28"/>
    </row>
    <row r="979">
      <c r="B979" s="28"/>
    </row>
    <row r="980">
      <c r="B980" s="28"/>
    </row>
    <row r="981">
      <c r="B981" s="28"/>
    </row>
    <row r="982">
      <c r="B982" s="28"/>
    </row>
    <row r="983">
      <c r="B983" s="28"/>
    </row>
    <row r="984">
      <c r="B984" s="28"/>
    </row>
    <row r="985">
      <c r="B985" s="28"/>
    </row>
    <row r="986">
      <c r="B986" s="28"/>
    </row>
    <row r="987">
      <c r="B987" s="28"/>
    </row>
    <row r="988">
      <c r="B988" s="28"/>
    </row>
    <row r="989">
      <c r="B989" s="28"/>
    </row>
    <row r="990">
      <c r="B990" s="28"/>
    </row>
    <row r="991">
      <c r="B991" s="28"/>
    </row>
    <row r="992">
      <c r="B992" s="28"/>
    </row>
    <row r="993">
      <c r="B993" s="28"/>
    </row>
    <row r="994">
      <c r="B994" s="28"/>
    </row>
    <row r="995">
      <c r="B995" s="28"/>
    </row>
    <row r="996">
      <c r="B996" s="28"/>
    </row>
    <row r="997">
      <c r="B997" s="28"/>
    </row>
    <row r="998">
      <c r="B998" s="28"/>
    </row>
    <row r="999">
      <c r="B999" s="28"/>
    </row>
    <row r="1000">
      <c r="B1000" s="28"/>
    </row>
    <row r="1001">
      <c r="B1001" s="28"/>
    </row>
  </sheetData>
  <drawing r:id="rId1"/>
</worksheet>
</file>